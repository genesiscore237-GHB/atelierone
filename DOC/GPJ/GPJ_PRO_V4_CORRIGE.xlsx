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1" name="00_Dashboard" state="visible" r:id="rId4"/>
    <sheet sheetId="1" name="00_Parametres" state="visible" r:id="rId5"/>
    <sheet sheetId="2" name="01_Employes" state="visible" r:id="rId6"/>
    <sheet sheetId="3" name="02_Pointage" state="visible" r:id="rId7"/>
    <sheet sheetId="4" name="03_Paie" state="visible" r:id="rId8"/>
    <sheet sheetId="5" name="04_Conges" state="visible" r:id="rId9"/>
    <sheet sheetId="6" name="05_Contrats" state="visible" r:id="rId10"/>
    <sheet sheetId="7" name="06_Competences" state="visible" r:id="rId11"/>
    <sheet sheetId="8" name="07_Planning" state="visible" r:id="rId12"/>
    <sheet sheetId="9" name="08_Sanctions" state="visible" r:id="rId13"/>
    <sheet sheetId="10" name="09_Contacts" state="visible" r:id="rId14"/>
    <sheet sheetId="12" name="10_Mode_Emploi" state="visible" r:id="rId15"/>
  </sheets>
  <calcPr calcId="171027"/>
</workbook>
</file>

<file path=xl/sharedStrings.xml><?xml version="1.0" encoding="utf-8"?>
<sst xmlns="http://schemas.openxmlformats.org/spreadsheetml/2006/main" count="627" uniqueCount="347">
  <si>
    <t>📊 GARAGE POLYVALENT JUNIOR — TABLEAU DE BORD RH</t>
  </si>
  <si>
    <t>Mis à jour automatiquement — ne rien saisir ici.</t>
  </si>
  <si>
    <t>EFFECTIF TOTAL</t>
  </si>
  <si>
    <t>ACTIFS</t>
  </si>
  <si>
    <t>CDI</t>
  </si>
  <si>
    <t>APPRENTISSAGE</t>
  </si>
  <si>
    <t>MASSE SALARIALE BASE (FCFA)</t>
  </si>
  <si>
    <t>HEURES SUPP. (période paie)</t>
  </si>
  <si>
    <t>MASSE PAIE ESTIMÉE (FCFA)</t>
  </si>
  <si>
    <t>RÉPARTITION PAR POSTE</t>
  </si>
  <si>
    <t>RÉPARTITION PAR DÉPARTEMENT</t>
  </si>
  <si>
    <t>Poste</t>
  </si>
  <si>
    <t>Nombre</t>
  </si>
  <si>
    <t>Département</t>
  </si>
  <si>
    <t>Administrateur</t>
  </si>
  <si>
    <t>Administration</t>
  </si>
  <si>
    <t>Secrétaire</t>
  </si>
  <si>
    <t>Direction Atelier</t>
  </si>
  <si>
    <t>Chef des ateliers</t>
  </si>
  <si>
    <t>Atelier Mécanique</t>
  </si>
  <si>
    <t>Mécanicien</t>
  </si>
  <si>
    <t>Carrosserie</t>
  </si>
  <si>
    <t>Tôlier</t>
  </si>
  <si>
    <t>Magasin</t>
  </si>
  <si>
    <t>Magasinier</t>
  </si>
  <si>
    <t>Direction Générale</t>
  </si>
  <si>
    <t>Électronicien</t>
  </si>
  <si>
    <t>Assistant Administratif</t>
  </si>
  <si>
    <t>ACCÈS RAPIDE AUX MODULES</t>
  </si>
  <si>
    <t>Module</t>
  </si>
  <si>
    <t>Description</t>
  </si>
  <si>
    <t>01_Employes</t>
  </si>
  <si>
    <t>SOURCE DE VÉRITÉ — fiches employés (ajouter EN BAS)</t>
  </si>
  <si>
    <t>02_Pointage</t>
  </si>
  <si>
    <t>Saisie quotidienne : date, ID, arrivée, départ, code</t>
  </si>
  <si>
    <t>03_Paie</t>
  </si>
  <si>
    <t>Choisir période B5/D5 — tout est automatique</t>
  </si>
  <si>
    <t>04_Conges</t>
  </si>
  <si>
    <t>Demandes + soldes automatiques</t>
  </si>
  <si>
    <t>05_Contrats</t>
  </si>
  <si>
    <t>Dates + alerte 30 jours avant échéance</t>
  </si>
  <si>
    <t>06_Competences</t>
  </si>
  <si>
    <t>Cartographie des compétences</t>
  </si>
  <si>
    <t>07_Planning</t>
  </si>
  <si>
    <t>Planning hebdo (date du lundi en B2)</t>
  </si>
  <si>
    <t>08_Sanctions</t>
  </si>
  <si>
    <t>Registre disciplinaire</t>
  </si>
  <si>
    <t>09_Contacts</t>
  </si>
  <si>
    <t>Annuaire automatique</t>
  </si>
  <si>
    <t>00_Parametres</t>
  </si>
  <si>
    <t>Horaires, taux HS, seuils, listes</t>
  </si>
  <si>
    <t>10_Mode_Emploi</t>
  </si>
  <si>
    <t>Notice complète + règles d'or</t>
  </si>
  <si>
    <t>⚙️ PARAMÈTRES GÉNÉRAUX — GARAGE POLYVALENT JUNIOR (modifier les JAUNES uniquement)</t>
  </si>
  <si>
    <t>HORAIRES DE TRAVAIL HEBDOMADAIRES</t>
  </si>
  <si>
    <t>Jour</t>
  </si>
  <si>
    <t>Travaillé ?</t>
  </si>
  <si>
    <t>Heure Début</t>
  </si>
  <si>
    <t>Heure Fin</t>
  </si>
  <si>
    <t>Pause (h)</t>
  </si>
  <si>
    <t>Heures nettes / jour</t>
  </si>
  <si>
    <t>Lundi</t>
  </si>
  <si>
    <t>Oui</t>
  </si>
  <si>
    <t>Mardi</t>
  </si>
  <si>
    <t>Mercredi</t>
  </si>
  <si>
    <t>Jeudi</t>
  </si>
  <si>
    <t>Vendredi</t>
  </si>
  <si>
    <t>Samedi</t>
  </si>
  <si>
    <t>Dimanche</t>
  </si>
  <si>
    <t>Non</t>
  </si>
  <si>
    <t>RÉSUMÉ &amp; PARAMÈTRES DE CALCUL</t>
  </si>
  <si>
    <t>Jours travaillés / semaine</t>
  </si>
  <si>
    <t>COUNTIF(B7:B13,"Oui")</t>
  </si>
  <si>
    <t>Heures nettes / semaine</t>
  </si>
  <si>
    <t>SUM(F7:F13)</t>
  </si>
  <si>
    <t>Heures standard / mois (≈ 4.333 sem.)</t>
  </si>
  <si>
    <t>ROUND(B17*4.333,1)</t>
  </si>
  <si>
    <t>Heures standard mensuelles (réf. taux)</t>
  </si>
  <si>
    <t>B18</t>
  </si>
  <si>
    <t>Taux majoration Heures Supp.</t>
  </si>
  <si>
    <t>Seuil HS journalier (heures)</t>
  </si>
  <si>
    <t>Heures standard d'un jour ouvrable</t>
  </si>
  <si>
    <t>F7</t>
  </si>
  <si>
    <t>Heures standard d'un samedi</t>
  </si>
  <si>
    <t>F12</t>
  </si>
  <si>
    <t>Comptabiliser les arrivées anticipées ?</t>
  </si>
  <si>
    <t>Comptabiliser les départs tardifs ?</t>
  </si>
  <si>
    <t>Déduire automatiquement les absences injustifiées ?</t>
  </si>
  <si>
    <t>Déduire automatiquement les départs anticipés ?</t>
  </si>
  <si>
    <t>LOGIQUE APPLIQUÉE DANS LE POINTAGE</t>
  </si>
  <si>
    <t>1. Arrivée avant l'heure de début → considérée à l'heure (sauf si B28 = Oui).</t>
  </si>
  <si>
    <t>2. Départ après l'heure de fin → compté à l'heure de fin (sauf si B29 = Oui).</t>
  </si>
  <si>
    <t>3. Arrivée en retard → minutes de retard calculées (colonne N Pointage).</t>
  </si>
  <si>
    <t>4. Départ anticipé → minutes manquantes calculées (colonne O Pointage).</t>
  </si>
  <si>
    <t>5. Tous les calculs se font d'abord en minutes puis convertis en heures.</t>
  </si>
  <si>
    <t>Postes</t>
  </si>
  <si>
    <t>Départements</t>
  </si>
  <si>
    <t>Types de contrat</t>
  </si>
  <si>
    <t>Statuts</t>
  </si>
  <si>
    <t>Types d'absence</t>
  </si>
  <si>
    <t>Codes</t>
  </si>
  <si>
    <t>Actif</t>
  </si>
  <si>
    <t>Congé annuel</t>
  </si>
  <si>
    <t>A</t>
  </si>
  <si>
    <t>Présent (à l'heure)</t>
  </si>
  <si>
    <t>CDD</t>
  </si>
  <si>
    <t>Inactif</t>
  </si>
  <si>
    <t>Congé maladie</t>
  </si>
  <si>
    <t>R</t>
  </si>
  <si>
    <t>Retard</t>
  </si>
  <si>
    <t>Apprentissage</t>
  </si>
  <si>
    <t>Suspendu</t>
  </si>
  <si>
    <t>Congé maternité</t>
  </si>
  <si>
    <t>HS</t>
  </si>
  <si>
    <t>Heures supp.</t>
  </si>
  <si>
    <t>Stage</t>
  </si>
  <si>
    <t>Démissionnaire</t>
  </si>
  <si>
    <t>Congé sans solde</t>
  </si>
  <si>
    <t>P</t>
  </si>
  <si>
    <t>Journée partielle</t>
  </si>
  <si>
    <t>Journalier</t>
  </si>
  <si>
    <t>Licencié</t>
  </si>
  <si>
    <t>Absence injustifiée</t>
  </si>
  <si>
    <t>C</t>
  </si>
  <si>
    <t>Congé</t>
  </si>
  <si>
    <t>Prestataire</t>
  </si>
  <si>
    <t>Formation</t>
  </si>
  <si>
    <t>M</t>
  </si>
  <si>
    <t>Maladie</t>
  </si>
  <si>
    <t>Mission</t>
  </si>
  <si>
    <t>F</t>
  </si>
  <si>
    <t>Férié</t>
  </si>
  <si>
    <t>AJ</t>
  </si>
  <si>
    <t>Absence justifiée</t>
  </si>
  <si>
    <t>Apprenti</t>
  </si>
  <si>
    <t>AI</t>
  </si>
  <si>
    <t>Autre</t>
  </si>
  <si>
    <t>INSTRUCTIONS</t>
  </si>
  <si>
    <t>• JAUNE = saisie (modifiable)   ·   VERT = formule protégée.</t>
  </si>
  <si>
    <t>• Mot de passe des feuilles : GPJ2026 — à ne diffuser qu'à l'administrateur.</t>
  </si>
  <si>
    <t>• Pour changer les horaires : modifiez les cellules jaunes du tableau ci-dessus.</t>
  </si>
  <si>
    <t>• Le taux horaire des employés = Salaire ÷ B21 (recalculé automatiquement).</t>
  </si>
  <si>
    <t>• Exemple actuel : Lun-Ven 7h30-18h (pause 1h) · Sam 7h30-12h · Dim repos.</t>
  </si>
  <si>
    <t>👥 REGISTRE DU PERSONNEL — SOURCE DE VÉRITÉ (ajouter en BAS uniquement)</t>
  </si>
  <si>
    <t>Complétez uniquement les cellules JAUNES. Les colonnes D, M, N sont calculées (VERTES). Ne supprimez jamais une ligne au milieu.</t>
  </si>
  <si>
    <t>ID</t>
  </si>
  <si>
    <t>Nom</t>
  </si>
  <si>
    <t>Prénom</t>
  </si>
  <si>
    <t>Nom Complet</t>
  </si>
  <si>
    <t>Téléphone</t>
  </si>
  <si>
    <t>Email</t>
  </si>
  <si>
    <t>Statut</t>
  </si>
  <si>
    <t>Date d'embauche</t>
  </si>
  <si>
    <t>Type de contrat</t>
  </si>
  <si>
    <t>Salaire Base Mensuel (FCFA)</t>
  </si>
  <si>
    <t>Taux Horaire (FCFA)</t>
  </si>
  <si>
    <t>Taux HS (FCFA)</t>
  </si>
  <si>
    <t>N° CNPS</t>
  </si>
  <si>
    <t>Adresse</t>
  </si>
  <si>
    <t>Notes / Observations</t>
  </si>
  <si>
    <t>EMP001</t>
  </si>
  <si>
    <t>Tsafack Ndongmo</t>
  </si>
  <si>
    <t>Symphonien</t>
  </si>
  <si>
    <t>677 89 71 62</t>
  </si>
  <si>
    <t>EMP002</t>
  </si>
  <si>
    <t>Pandja Tchatchoua</t>
  </si>
  <si>
    <t>Syriane</t>
  </si>
  <si>
    <t>656 04 71 31</t>
  </si>
  <si>
    <t>EMP003</t>
  </si>
  <si>
    <t>Takoueta</t>
  </si>
  <si>
    <t>Yvan</t>
  </si>
  <si>
    <t>657 78 99 78</t>
  </si>
  <si>
    <t>EMP004</t>
  </si>
  <si>
    <t>Chekep</t>
  </si>
  <si>
    <t>Faustin</t>
  </si>
  <si>
    <t>672 67 18 01</t>
  </si>
  <si>
    <t>EMP005</t>
  </si>
  <si>
    <t>Abdou</t>
  </si>
  <si>
    <t/>
  </si>
  <si>
    <t>673 84 48 12</t>
  </si>
  <si>
    <t>EMP006</t>
  </si>
  <si>
    <t>Nyontyen Si</t>
  </si>
  <si>
    <t>Jean Vinny</t>
  </si>
  <si>
    <t>694 36 28 38</t>
  </si>
  <si>
    <t>EMP007</t>
  </si>
  <si>
    <t>Holé</t>
  </si>
  <si>
    <t>Homsala</t>
  </si>
  <si>
    <t>699 47 09 80</t>
  </si>
  <si>
    <t>holehomsala7@gmail.com</t>
  </si>
  <si>
    <t>EMP008</t>
  </si>
  <si>
    <t>Ebene</t>
  </si>
  <si>
    <t>Ngono</t>
  </si>
  <si>
    <t>653 04 86 11</t>
  </si>
  <si>
    <t>EMP009</t>
  </si>
  <si>
    <t>Tineba</t>
  </si>
  <si>
    <t>Vital Eric</t>
  </si>
  <si>
    <t>698 14 24 06</t>
  </si>
  <si>
    <t>EMP010</t>
  </si>
  <si>
    <t>Deutchoua Tientcheu</t>
  </si>
  <si>
    <t>Christian</t>
  </si>
  <si>
    <t>695 07 89 78 / 678 03 61 47</t>
  </si>
  <si>
    <t>EMP011</t>
  </si>
  <si>
    <t>Fouakouet</t>
  </si>
  <si>
    <t>Youssoufa</t>
  </si>
  <si>
    <t>640 85 90 53 / 620 04 32 29</t>
  </si>
  <si>
    <t>EMP012</t>
  </si>
  <si>
    <t>Ngouamera</t>
  </si>
  <si>
    <t>Adrien Gildas</t>
  </si>
  <si>
    <t>680 09 48 64</t>
  </si>
  <si>
    <t>EMP013</t>
  </si>
  <si>
    <t>Nague Zemdjui</t>
  </si>
  <si>
    <t>Arnaud</t>
  </si>
  <si>
    <t>658 77 57 44</t>
  </si>
  <si>
    <t>arnaudstars@gmail.com</t>
  </si>
  <si>
    <t>EMP014</t>
  </si>
  <si>
    <t>Zo'o Mbarga</t>
  </si>
  <si>
    <t>Jean Loic</t>
  </si>
  <si>
    <t>698 94 92 21</t>
  </si>
  <si>
    <t>🕐 POINTAGE GPJ — saisir : Date · ID · Arrivée · Départ (ou Code absence)</t>
  </si>
  <si>
    <t>Une ligne = un employé pour un jour. Séparer deux jours : simplement changer la date (les formules suivent). Codes absence : A, R, HS, P, C, M, F, AJ, AI.</t>
  </si>
  <si>
    <t>JAUNE = saisie · VERT = automatique · ligne grise = séparateur · ligne rose = anomalie à corriger.</t>
  </si>
  <si>
    <t>Date</t>
  </si>
  <si>
    <t>ID Employé</t>
  </si>
  <si>
    <t>H. Début théorique</t>
  </si>
  <si>
    <t>H. Fin théorique</t>
  </si>
  <si>
    <t>Heure Arrivée réelle</t>
  </si>
  <si>
    <t>Heure Départ réelle</t>
  </si>
  <si>
    <t>Valider arrivée anticipée ?</t>
  </si>
  <si>
    <t>Valider départ tardif ?</t>
  </si>
  <si>
    <t>Arrivée effective</t>
  </si>
  <si>
    <t>Départ effectif</t>
  </si>
  <si>
    <t>Minutes de retard</t>
  </si>
  <si>
    <t>Minutes départ anticipé</t>
  </si>
  <si>
    <t>Heures travaillées</t>
  </si>
  <si>
    <t>Heures Normales</t>
  </si>
  <si>
    <t>Heures Supp.</t>
  </si>
  <si>
    <t>Code Présence</t>
  </si>
  <si>
    <t>Prime Tâche (FCFA)</t>
  </si>
  <si>
    <t>Notes / Motif</t>
  </si>
  <si>
    <t>Arrivé 15 min avant → non compté</t>
  </si>
  <si>
    <t>Départ tardif validé Admin</t>
  </si>
  <si>
    <t>Retard 30 min + départ anticipé 30 min</t>
  </si>
  <si>
    <t>Retard 15 min</t>
  </si>
  <si>
    <t>Samedi normal 7h30-12h</t>
  </si>
  <si>
    <t>💰 CALCUL DE PAIE — BASÉ SUR LES HEURES RÉELLES DU POINTAGE</t>
  </si>
  <si>
    <t>PÉRIODE DE CALCUL</t>
  </si>
  <si>
    <t>Date début</t>
  </si>
  <si>
    <t>Date fin</t>
  </si>
  <si>
    <t>← Modifiez ces dates pour recalculer toute la paie.</t>
  </si>
  <si>
    <t>Total Heures Normales</t>
  </si>
  <si>
    <t>Total Heures Supp</t>
  </si>
  <si>
    <t>Total Primes Tâches</t>
  </si>
  <si>
    <t>Masse Salariale Estimée</t>
  </si>
  <si>
    <t>Type Contrat</t>
  </si>
  <si>
    <t>Salaire Base Mensuel</t>
  </si>
  <si>
    <t>Taux Horaire</t>
  </si>
  <si>
    <t>Montant Heures Normales</t>
  </si>
  <si>
    <t>Montant HS</t>
  </si>
  <si>
    <t>Salaire Brut Estimé</t>
  </si>
  <si>
    <t>Jours présents</t>
  </si>
  <si>
    <t>Observations</t>
  </si>
  <si>
    <t>TOTAUX</t>
  </si>
  <si>
    <t>1. Ce calcul est une ESTIMATION basée sur les heures pointées dans la période.</t>
  </si>
  <si>
    <t>2. Le salaire est calculé uniquement sur les heures réelles (mode horaire).</t>
  </si>
  <si>
    <t>3. Un employé absent sans pointage aura un salaire estimé à 0 pour la période.</t>
  </si>
  <si>
    <t>4. Pour ajouter un employé : passez par 01_Employes (il apparaîtra ici seul).</t>
  </si>
  <si>
    <t>5. Les primes de tâche se saisissent directement dans 02_Pointage (colonne T).</t>
  </si>
  <si>
    <t>🏖️ GESTION DES CONGÉS ET ABSENCES</t>
  </si>
  <si>
    <t>Enregistrez les demandes (statut Approuvé ⇒ décompté du solde). Droit annuel modifiable dans le bloc SOLDES.</t>
  </si>
  <si>
    <t>N°</t>
  </si>
  <si>
    <t>Type d'absence</t>
  </si>
  <si>
    <t>Nb jours</t>
  </si>
  <si>
    <t>Motif</t>
  </si>
  <si>
    <t>SOLDES DE CONGÉS (calculés automatiquement)</t>
  </si>
  <si>
    <t>Droit annuel (jours)</t>
  </si>
  <si>
    <t>Jours pris (approuvés)</t>
  </si>
  <si>
    <t>Solde restant</t>
  </si>
  <si>
    <t>Notes</t>
  </si>
  <si>
    <t>📄 SUIVI DES CONTRATS DE TRAVAIL</t>
  </si>
  <si>
    <t>Type contrat</t>
  </si>
  <si>
    <t>Durée (mois)</t>
  </si>
  <si>
    <t>Fin période essai</t>
  </si>
  <si>
    <t>Salaire brut (FCFA)</t>
  </si>
  <si>
    <t>Jours restants</t>
  </si>
  <si>
    <t>Alerte</t>
  </si>
  <si>
    <t>🎓 COMPÉTENCES, FORMATIONS &amp; HABILITATIONS</t>
  </si>
  <si>
    <t>Spécialité principale</t>
  </si>
  <si>
    <t>Niveau (1-5)</t>
  </si>
  <si>
    <t>Formations suivies</t>
  </si>
  <si>
    <t>Habilitations / Certifications</t>
  </si>
  <si>
    <t>Logiciels maîtrisés</t>
  </si>
  <si>
    <t>📅 PLANNING HEBDOMADAIRE / AFFECTATIONS</t>
  </si>
  <si>
    <t>Semaine du :</t>
  </si>
  <si>
    <t>Exemples d'affectation : Atelier – Pont élévateur 1 · Réception client · Magasin · Carrosserie · Extérieur (dépannage)</t>
  </si>
  <si>
    <t>⚠️ REGISTRE DES INCIDENTS, AVERTISSEMENTS &amp; SANCTIONS</t>
  </si>
  <si>
    <t>Type</t>
  </si>
  <si>
    <t>Description des faits</t>
  </si>
  <si>
    <t>Gravité</t>
  </si>
  <si>
    <t>Décision / Sanction</t>
  </si>
  <si>
    <t>📞 ANNUAIRE INTERNE — CONTACTS RAPIDES (100 % automatique)</t>
  </si>
  <si>
    <t>📖 MODE D'EMPLOI — GESTION DU PERSONNEL GPJ (V4 CORRIGÉ)</t>
  </si>
  <si>
    <t>OBJECTIF</t>
  </si>
  <si>
    <t>Ce classeur gère le personnel du garage : fiches employés, pointage horaire, paie estimée, congés, contrats, compétences, planning, sanctions, annuaire.</t>
  </si>
  <si>
    <t>MODULE → UTILISATION</t>
  </si>
  <si>
    <t>Horaires (jaunes), taux HS (B22), seuil HS (B23), listes. Tout le classeur en dépend.</t>
  </si>
  <si>
    <t>SOURCE DE VÉRITÉ. Ajouter un employé = remplir la première ligne jaune libre EN BAS.</t>
  </si>
  <si>
    <t>Une ligne = un employé/jour. Date JJ/MM/AAAA, heures HH:MM. Codes absence si pas d'heures.</t>
  </si>
  <si>
    <t>Modifier uniquement B5 et D5 (période). Tout le reste est calculé.</t>
  </si>
  <si>
    <t>Demandes (statut Approuvé ⇒ solde décompté). Droit annuel ajustable bloc SOLDES.</t>
  </si>
  <si>
    <t>Renseigner dates début/fin : durée, jours restants et alerte ≤ 30 j automatiques.</t>
  </si>
  <si>
    <t>Saisie libre (niveau 1-5).</t>
  </si>
  <si>
    <t>Date du lundi en B2 ; affectations dans la grille.</t>
  </si>
  <si>
    <t>Registre disciplinaire libre.</t>
  </si>
  <si>
    <t>Annuaire 100 % automatique.</t>
  </si>
  <si>
    <t>RÈGLES D'OR</t>
  </si>
  <si>
    <t>1.</t>
  </si>
  <si>
    <t>Ne JAMAIS colorier une ligne entière manuellement (c'est ce qui cassait les formats). Utiliser les gris/rose automatiques.</t>
  </si>
  <si>
    <t>2.</t>
  </si>
  <si>
    <t>Ne jamais insérer de ligne AU MILIEU des données : ajouter toujours EN BAS.</t>
  </si>
  <si>
    <t>3.</t>
  </si>
  <si>
    <t>Dates au format JJ/MM/AAAA strict ; heures HH:MM (7:30 et pas 7h30).</t>
  </si>
  <si>
    <t>4.</t>
  </si>
  <si>
    <t>IDs employés en MAJUSCULES (EMP002). La validation de données bloque désormais les ID inconnus.</t>
  </si>
  <si>
    <t>5.</t>
  </si>
  <si>
    <t>Ne pas modifier les cellules VERTES (protégées — mot de passe GPJ2026).</t>
  </si>
  <si>
    <t>6.</t>
  </si>
  <si>
    <t>Sauvegarder une copie mensuelle (ex : GPJ_BACKUP_AOUT2026.xlsx).</t>
  </si>
  <si>
    <t>7.</t>
  </si>
  <si>
    <t>La paie est une ESTIMATION sur heures réelles ; ajuster primes/retenues avant virement.</t>
  </si>
  <si>
    <t>LOGIQUE DE CALCUL DU SALAIRE</t>
  </si>
  <si>
    <t>= Salaire Base Mensuel ÷ Heures standard mensuelles ('00_Parametres'!B21).</t>
  </si>
  <si>
    <t>= MIN(Heures travaillées ; Seuil journalier B23), cumulées sur la période.</t>
  </si>
  <si>
    <t>Heures Supplémentaires</t>
  </si>
  <si>
    <t>= MAX(0 ; Heures travaillées − Seuil B23), cumulées.</t>
  </si>
  <si>
    <t>Montant Normal</t>
  </si>
  <si>
    <t>= Heures Normales × Taux Horaire.</t>
  </si>
  <si>
    <t>= Heures Supp × (Taux Horaire × Majoration B22).</t>
  </si>
  <si>
    <t>= Montant Normal + Montant HS + Primes de tâche.</t>
  </si>
  <si>
    <t>CORRECTIONS APPLIQUÉES DANS CETTE VERSION V4</t>
  </si>
  <si>
    <t>✓</t>
  </si>
  <si>
    <t>Dates texte « 8/262026 » converties en vraies dates 26/08/2026.</t>
  </si>
  <si>
    <t>IDs en minuscules (emp002…) remis en MAJUSCULES.</t>
  </si>
  <si>
    <t>Heures fantômes 00:00 vidées (elles créaient des retards/journées imaginaires).</t>
  </si>
  <si>
    <t>Lignes vides intercalées supprimées (les totaux repartent juste).</t>
  </si>
  <si>
    <t>Feuilles protégées (mot de passe GPJ2026) : seules les cellules JAUNES sont modifiables.</t>
  </si>
  <si>
    <t>Validations : listes d'IDs, codes présence, dates et heures contrôlées.</t>
  </si>
  <si>
    <t>Anomalies visibles : ligne ROSE = retard &gt; 15 min ; colonne Notes pour le motif.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</si>
</sst>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hh:mm"/>
    <numFmt numFmtId="165" formatCode="0.0"/>
    <numFmt numFmtId="166" formatCode="dd/mm/yyyy"/>
    <numFmt numFmtId="167" formatCode="#,##0.##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9"/>
    </font>
    <font>
      <b/>
      <sz val="10"/>
    </font>
    <font>
      <b/>
      <color rgb="FF006100"/>
      <sz val="16"/>
    </font>
    <font>
      <b/>
      <sz val="11"/>
    </font>
    <font>
      <b/>
      <color rgb="FFFFFFFF"/>
      <sz val="9.5"/>
    </font>
    <font>
      <color rgb="FF006100"/>
      <sz val="9.5"/>
    </font>
    <font>
      <b/>
      <color rgb="FF006100"/>
    </font>
    <font>
      <b/>
    </font>
    <font>
      <b/>
      <color rgb="FFFFFFFF"/>
      <sz val="12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30549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/>
    <xf numFmtId="1" fontId="4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0" fontId="0" fillId="5" borderId="2" xfId="0" applyFill="1" applyBorder="1" applyProtection="1">
      <protection locked="0"/>
    </xf>
    <xf numFmtId="164" fontId="0" fillId="5" borderId="2" xfId="0" applyNumberFormat="1" applyFill="1" applyBorder="1" applyProtection="1">
      <protection locked="0"/>
    </xf>
    <xf numFmtId="2" fontId="7" fillId="3" borderId="0" xfId="0" applyNumberFormat="1" applyFont="1" applyFill="1"/>
    <xf numFmtId="165" fontId="0" fillId="5" borderId="2" xfId="0" applyNumberFormat="1" applyFill="1" applyBorder="1" applyProtection="1">
      <protection locked="0"/>
    </xf>
    <xf numFmtId="166" fontId="0" fillId="0" borderId="0" xfId="0" applyNumberFormat="1"/>
    <xf numFmtId="166" fontId="1" fillId="2" borderId="0" xfId="0" applyNumberFormat="1" applyFont="1" applyFill="1" applyAlignment="1">
      <alignment vertical="center" indent="1"/>
    </xf>
    <xf numFmtId="166" fontId="6" fillId="4" borderId="1" xfId="0" applyNumberFormat="1" applyFont="1" applyFill="1" applyBorder="1" applyAlignment="1">
      <alignment horizontal="center" vertical="center" wrapText="1"/>
    </xf>
    <xf numFmtId="3" fontId="0" fillId="5" borderId="2" xfId="0" applyNumberFormat="1" applyFill="1" applyBorder="1" applyProtection="1">
      <protection locked="0"/>
    </xf>
    <xf numFmtId="166" fontId="0" fillId="5" borderId="2" xfId="0" applyNumberFormat="1" applyFill="1" applyBorder="1" applyProtection="1">
      <protection locked="0"/>
    </xf>
    <xf numFmtId="3" fontId="7" fillId="3" borderId="0" xfId="0" applyNumberFormat="1" applyFont="1" applyFill="1"/>
    <xf numFmtId="164" fontId="0" fillId="0" borderId="0" xfId="0" applyNumberFormat="1"/>
    <xf numFmtId="164" fontId="1" fillId="2" borderId="0" xfId="0" applyNumberFormat="1" applyFont="1" applyFill="1" applyAlignment="1">
      <alignment vertical="center" indent="1"/>
    </xf>
    <xf numFmtId="166" fontId="2" fillId="0" borderId="0" xfId="0" applyNumberFormat="1" applyFont="1"/>
    <xf numFmtId="164" fontId="6" fillId="4" borderId="1" xfId="0" applyNumberFormat="1" applyFont="1" applyFill="1" applyBorder="1" applyAlignment="1">
      <alignment horizontal="center" vertical="center" wrapText="1"/>
    </xf>
    <xf numFmtId="164" fontId="7" fillId="3" borderId="0" xfId="0" applyNumberFormat="1" applyFont="1" applyFill="1"/>
    <xf numFmtId="1" fontId="7" fillId="3" borderId="0" xfId="0" applyNumberFormat="1" applyFont="1" applyFill="1"/>
    <xf numFmtId="167" fontId="8" fillId="3" borderId="0" xfId="0" applyNumberFormat="1" applyFont="1" applyFill="1"/>
    <xf numFmtId="0" fontId="9" fillId="0" borderId="0" xfId="0" applyFont="1"/>
    <xf numFmtId="1" fontId="0" fillId="5" borderId="2" xfId="0" applyNumberFormat="1" applyFill="1" applyBorder="1" applyProtection="1">
      <protection locked="0"/>
    </xf>
    <xf numFmtId="165" fontId="7" fillId="3" borderId="0" xfId="0" applyNumberFormat="1" applyFont="1" applyFill="1"/>
    <xf numFmtId="0" fontId="10" fillId="4" borderId="0" xfId="0" applyFont="1" applyFill="1"/>
    <xf numFmtId="0" fontId="0" fillId="0" borderId="0" xfId="0" applyAlignment="1">
      <alignment wrapText="1"/>
    </xf>
    <xf numFmtId="0" fontId="11" fillId="0" borderId="0" xfId="0" applyFont="1"/>
  </cellXfs>
  <cellStyles count="1">
    <cellStyle name="Normal" xfId="0" builtinId="0"/>
  </cellStyles>
  <dxfs count="5">
    <dxf>
      <font>
        <i/>
      </font>
      <fill>
        <patternFill patternType="solid">
          <bgColor rgb="FFD9D9D9"/>
        </patternFill>
      </fill>
    </dxf>
    <dxf>
      <fill>
        <patternFill patternType="solid">
          <bgColor rgb="FFF4CCCC"/>
        </patternFill>
      </fill>
    </dxf>
    <dxf>
      <font>
        <b/>
        <color rgb="FF38761D"/>
      </font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4" customWidth="1"/>
    <col min="3" max="4" width="11" customWidth="1"/>
    <col min="5" max="5" width="10" customWidth="1"/>
    <col min="6" max="6" width="18" customWidth="1"/>
    <col min="7" max="7" width="7" customWidth="1"/>
    <col min="8" max="8" width="24" customWidth="1"/>
  </cols>
  <sheetData>
    <row r="1" ht="24" customHeight="1" spans="1:6" x14ac:dyDescent="0.25">
      <c r="A1" s="1" t="s">
        <v>53</v>
      </c>
      <c r="B1" s="1"/>
      <c r="C1" s="1"/>
      <c r="D1" s="1"/>
      <c r="E1" s="1"/>
      <c r="F1" s="1"/>
    </row>
    <row r="3" spans="1:6" x14ac:dyDescent="0.25">
      <c r="A3" s="7" t="s">
        <v>54</v>
      </c>
      <c r="B3" s="7"/>
      <c r="C3" s="7"/>
      <c r="D3" s="7"/>
      <c r="E3" s="7"/>
      <c r="F3" s="7"/>
    </row>
    <row r="6" ht="28" customHeight="1" spans="1:6" x14ac:dyDescent="0.25">
      <c r="A6" s="8" t="s">
        <v>55</v>
      </c>
      <c r="B6" s="8" t="s">
        <v>56</v>
      </c>
      <c r="C6" s="8" t="s">
        <v>57</v>
      </c>
      <c r="D6" s="8" t="s">
        <v>58</v>
      </c>
      <c r="E6" s="8" t="s">
        <v>59</v>
      </c>
      <c r="F6" s="8" t="s">
        <v>60</v>
      </c>
    </row>
    <row r="7" spans="1:6" x14ac:dyDescent="0.25">
      <c r="A7" t="s">
        <v>61</v>
      </c>
      <c r="B7" s="10" t="s">
        <v>62</v>
      </c>
      <c r="C7" s="11">
        <v>0.3125</v>
      </c>
      <c r="D7" s="11">
        <v>0.75</v>
      </c>
      <c r="E7" s="10">
        <v>1</v>
      </c>
      <c r="F7" s="12">
        <f>IF(B7="Oui",IF(OR(C7="",D7=""),"",ROUND((D7-C7)*24-E7,2)),"")</f>
      </c>
    </row>
    <row r="8" spans="1:6" x14ac:dyDescent="0.25">
      <c r="A8" t="s">
        <v>63</v>
      </c>
      <c r="B8" s="10" t="s">
        <v>62</v>
      </c>
      <c r="C8" s="11">
        <v>0.3125</v>
      </c>
      <c r="D8" s="11">
        <v>0.75</v>
      </c>
      <c r="E8" s="10">
        <v>1</v>
      </c>
      <c r="F8" s="12">
        <f>IF(B8="Oui",IF(OR(C8="",D8=""),"",ROUND((D8-C8)*24-E8,2)),"")</f>
      </c>
    </row>
    <row r="9" spans="1:6" x14ac:dyDescent="0.25">
      <c r="A9" t="s">
        <v>64</v>
      </c>
      <c r="B9" s="10" t="s">
        <v>62</v>
      </c>
      <c r="C9" s="11">
        <v>0.3125</v>
      </c>
      <c r="D9" s="11">
        <v>0.75</v>
      </c>
      <c r="E9" s="10">
        <v>1</v>
      </c>
      <c r="F9" s="12">
        <f>IF(B9="Oui",IF(OR(C9="",D9=""),"",ROUND((D9-C9)*24-E9,2)),"")</f>
      </c>
    </row>
    <row r="10" spans="1:6" x14ac:dyDescent="0.25">
      <c r="A10" t="s">
        <v>65</v>
      </c>
      <c r="B10" s="10" t="s">
        <v>62</v>
      </c>
      <c r="C10" s="11">
        <v>0.3125</v>
      </c>
      <c r="D10" s="11">
        <v>0.75</v>
      </c>
      <c r="E10" s="10">
        <v>1</v>
      </c>
      <c r="F10" s="12">
        <f>IF(B10="Oui",IF(OR(C10="",D10=""),"",ROUND((D10-C10)*24-E10,2)),"")</f>
      </c>
    </row>
    <row r="11" spans="1:6" x14ac:dyDescent="0.25">
      <c r="A11" t="s">
        <v>66</v>
      </c>
      <c r="B11" s="10" t="s">
        <v>62</v>
      </c>
      <c r="C11" s="11">
        <v>0.3125</v>
      </c>
      <c r="D11" s="11">
        <v>0.75</v>
      </c>
      <c r="E11" s="10">
        <v>1</v>
      </c>
      <c r="F11" s="12">
        <f>IF(B11="Oui",IF(OR(C11="",D11=""),"",ROUND((D11-C11)*24-E11,2)),"")</f>
      </c>
    </row>
    <row r="12" spans="1:6" x14ac:dyDescent="0.25">
      <c r="A12" t="s">
        <v>67</v>
      </c>
      <c r="B12" s="10" t="s">
        <v>62</v>
      </c>
      <c r="C12" s="11">
        <v>0.3125</v>
      </c>
      <c r="D12" s="11">
        <v>0.5</v>
      </c>
      <c r="E12" s="10">
        <v>0</v>
      </c>
      <c r="F12" s="12">
        <f>IF(B12="Oui",IF(OR(C12="",D12=""),"",ROUND((D12-C12)*24-E12,2)),"")</f>
      </c>
    </row>
    <row r="13" spans="1:6" x14ac:dyDescent="0.25">
      <c r="A13" t="s">
        <v>68</v>
      </c>
      <c r="B13" s="10" t="s">
        <v>69</v>
      </c>
      <c r="C13" s="11"/>
      <c r="D13" s="11"/>
      <c r="E13" s="10">
        <v>0</v>
      </c>
      <c r="F13" s="12">
        <f>IF(B13="Oui",IF(OR(C13="",D13=""),"",ROUND((D13-C13)*24-E13,2)),"")</f>
      </c>
    </row>
    <row r="15" spans="1:6" x14ac:dyDescent="0.25">
      <c r="A15" s="7" t="s">
        <v>70</v>
      </c>
      <c r="B15" s="7"/>
      <c r="C15" s="7"/>
      <c r="D15" s="7"/>
      <c r="E15" s="7"/>
      <c r="F15" s="7"/>
    </row>
    <row r="16" spans="1:2" x14ac:dyDescent="0.25">
      <c r="A16" t="s">
        <v>71</v>
      </c>
      <c r="B16" s="9" t="s">
        <v>72</v>
      </c>
    </row>
    <row r="17" spans="1:2" x14ac:dyDescent="0.25">
      <c r="A17" t="s">
        <v>73</v>
      </c>
      <c r="B17" s="9" t="s">
        <v>74</v>
      </c>
    </row>
    <row r="18" spans="1:2" x14ac:dyDescent="0.25">
      <c r="A18" t="s">
        <v>75</v>
      </c>
      <c r="B18" s="9" t="s">
        <v>76</v>
      </c>
    </row>
    <row r="21" spans="1:2" x14ac:dyDescent="0.25">
      <c r="A21" t="s">
        <v>77</v>
      </c>
      <c r="B21" s="9" t="s">
        <v>78</v>
      </c>
    </row>
    <row r="22" spans="1:2" x14ac:dyDescent="0.25">
      <c r="A22" t="s">
        <v>79</v>
      </c>
      <c r="B22" s="13">
        <v>1.5</v>
      </c>
    </row>
    <row r="23" spans="1:2" x14ac:dyDescent="0.25">
      <c r="A23" t="s">
        <v>80</v>
      </c>
      <c r="B23" s="13">
        <v>9.5</v>
      </c>
    </row>
    <row r="24" spans="1:2" x14ac:dyDescent="0.25">
      <c r="A24" t="s">
        <v>81</v>
      </c>
      <c r="B24" s="9" t="s">
        <v>82</v>
      </c>
    </row>
    <row r="25" spans="1:2" x14ac:dyDescent="0.25">
      <c r="A25" t="s">
        <v>83</v>
      </c>
      <c r="B25" s="9" t="s">
        <v>84</v>
      </c>
    </row>
    <row r="28" spans="1:2" x14ac:dyDescent="0.25">
      <c r="A28" t="s">
        <v>85</v>
      </c>
      <c r="B28" s="10" t="s">
        <v>69</v>
      </c>
    </row>
    <row r="29" spans="1:2" x14ac:dyDescent="0.25">
      <c r="A29" t="s">
        <v>86</v>
      </c>
      <c r="B29" s="10" t="s">
        <v>69</v>
      </c>
    </row>
    <row r="30" spans="1:2" x14ac:dyDescent="0.25">
      <c r="A30" t="s">
        <v>87</v>
      </c>
      <c r="B30" s="10" t="s">
        <v>62</v>
      </c>
    </row>
    <row r="31" spans="1:2" x14ac:dyDescent="0.25">
      <c r="A31" t="s">
        <v>88</v>
      </c>
      <c r="B31" s="10" t="s">
        <v>62</v>
      </c>
    </row>
    <row r="33" spans="1:6" x14ac:dyDescent="0.25">
      <c r="A33" s="7" t="s">
        <v>89</v>
      </c>
      <c r="B33" s="7"/>
      <c r="C33" s="7"/>
      <c r="D33" s="7"/>
      <c r="E33" s="7"/>
      <c r="F33" s="7"/>
    </row>
    <row r="34" spans="1:1" x14ac:dyDescent="0.25">
      <c r="A34" t="s">
        <v>90</v>
      </c>
    </row>
    <row r="35" spans="1:1" x14ac:dyDescent="0.25">
      <c r="A35" t="s">
        <v>91</v>
      </c>
    </row>
    <row r="36" spans="1:1" x14ac:dyDescent="0.25">
      <c r="A36" t="s">
        <v>92</v>
      </c>
    </row>
    <row r="37" spans="1:1" x14ac:dyDescent="0.25">
      <c r="A37" t="s">
        <v>93</v>
      </c>
    </row>
    <row r="38" spans="1:1" x14ac:dyDescent="0.25">
      <c r="A38" t="s">
        <v>94</v>
      </c>
    </row>
    <row r="39" spans="1:7" x14ac:dyDescent="0.25">
      <c r="A39" s="7" t="s">
        <v>95</v>
      </c>
      <c r="B39" s="7" t="s">
        <v>96</v>
      </c>
      <c r="C39" s="7" t="s">
        <v>97</v>
      </c>
      <c r="D39" s="7" t="s">
        <v>98</v>
      </c>
      <c r="E39" s="7" t="s">
        <v>99</v>
      </c>
      <c r="G39" s="7" t="s">
        <v>100</v>
      </c>
    </row>
    <row r="40" spans="1:8" x14ac:dyDescent="0.25">
      <c r="A40" s="10" t="s">
        <v>14</v>
      </c>
      <c r="B40" s="10" t="s">
        <v>15</v>
      </c>
      <c r="C40" s="10" t="s">
        <v>4</v>
      </c>
      <c r="D40" s="10" t="s">
        <v>101</v>
      </c>
      <c r="E40" s="10" t="s">
        <v>102</v>
      </c>
      <c r="G40" s="10" t="s">
        <v>103</v>
      </c>
      <c r="H40" s="10" t="s">
        <v>104</v>
      </c>
    </row>
    <row r="41" spans="1:8" x14ac:dyDescent="0.25">
      <c r="A41" s="10" t="s">
        <v>16</v>
      </c>
      <c r="B41" s="10" t="s">
        <v>17</v>
      </c>
      <c r="C41" s="10" t="s">
        <v>105</v>
      </c>
      <c r="D41" s="10" t="s">
        <v>106</v>
      </c>
      <c r="E41" s="10" t="s">
        <v>107</v>
      </c>
      <c r="G41" s="10" t="s">
        <v>108</v>
      </c>
      <c r="H41" s="10" t="s">
        <v>109</v>
      </c>
    </row>
    <row r="42" spans="1:8" x14ac:dyDescent="0.25">
      <c r="A42" s="10" t="s">
        <v>18</v>
      </c>
      <c r="B42" s="10" t="s">
        <v>19</v>
      </c>
      <c r="C42" s="10" t="s">
        <v>110</v>
      </c>
      <c r="D42" s="10" t="s">
        <v>111</v>
      </c>
      <c r="E42" s="10" t="s">
        <v>112</v>
      </c>
      <c r="G42" s="10" t="s">
        <v>113</v>
      </c>
      <c r="H42" s="10" t="s">
        <v>114</v>
      </c>
    </row>
    <row r="43" spans="1:8" x14ac:dyDescent="0.25">
      <c r="A43" s="10" t="s">
        <v>20</v>
      </c>
      <c r="B43" s="10" t="s">
        <v>21</v>
      </c>
      <c r="C43" s="10" t="s">
        <v>115</v>
      </c>
      <c r="D43" s="10" t="s">
        <v>116</v>
      </c>
      <c r="E43" s="10" t="s">
        <v>117</v>
      </c>
      <c r="G43" s="10" t="s">
        <v>118</v>
      </c>
      <c r="H43" s="10" t="s">
        <v>119</v>
      </c>
    </row>
    <row r="44" spans="1:8" x14ac:dyDescent="0.25">
      <c r="A44" s="10" t="s">
        <v>22</v>
      </c>
      <c r="B44" s="10" t="s">
        <v>23</v>
      </c>
      <c r="C44" s="10" t="s">
        <v>120</v>
      </c>
      <c r="D44" s="10" t="s">
        <v>121</v>
      </c>
      <c r="E44" s="10" t="s">
        <v>122</v>
      </c>
      <c r="G44" s="10" t="s">
        <v>123</v>
      </c>
      <c r="H44" s="10" t="s">
        <v>124</v>
      </c>
    </row>
    <row r="45" spans="1:8" x14ac:dyDescent="0.25">
      <c r="A45" s="10" t="s">
        <v>24</v>
      </c>
      <c r="B45" s="10" t="s">
        <v>25</v>
      </c>
      <c r="C45" s="10" t="s">
        <v>125</v>
      </c>
      <c r="E45" s="10" t="s">
        <v>126</v>
      </c>
      <c r="G45" s="10" t="s">
        <v>127</v>
      </c>
      <c r="H45" s="10" t="s">
        <v>128</v>
      </c>
    </row>
    <row r="46" spans="1:8" x14ac:dyDescent="0.25">
      <c r="A46" s="10" t="s">
        <v>26</v>
      </c>
      <c r="E46" s="10" t="s">
        <v>129</v>
      </c>
      <c r="G46" s="10" t="s">
        <v>130</v>
      </c>
      <c r="H46" s="10" t="s">
        <v>131</v>
      </c>
    </row>
    <row r="47" spans="1:8" x14ac:dyDescent="0.25">
      <c r="A47" s="10" t="s">
        <v>27</v>
      </c>
      <c r="G47" s="10" t="s">
        <v>132</v>
      </c>
      <c r="H47" s="10" t="s">
        <v>133</v>
      </c>
    </row>
    <row r="48" spans="1:8" x14ac:dyDescent="0.25">
      <c r="A48" s="10" t="s">
        <v>134</v>
      </c>
      <c r="G48" s="10" t="s">
        <v>135</v>
      </c>
      <c r="H48" s="10" t="s">
        <v>122</v>
      </c>
    </row>
    <row r="49" spans="1:5" x14ac:dyDescent="0.25">
      <c r="A49" s="10" t="s">
        <v>136</v>
      </c>
    </row>
    <row r="52" spans="1:6" x14ac:dyDescent="0.25">
      <c r="A52" s="7" t="s">
        <v>137</v>
      </c>
      <c r="B52" s="7"/>
      <c r="C52" s="7"/>
      <c r="D52" s="7"/>
      <c r="E52" s="7"/>
      <c r="F52" s="7"/>
    </row>
    <row r="53" spans="1:1" x14ac:dyDescent="0.25">
      <c r="A53" t="s">
        <v>138</v>
      </c>
    </row>
    <row r="54" spans="1:1" x14ac:dyDescent="0.25">
      <c r="A54" t="s">
        <v>139</v>
      </c>
    </row>
    <row r="55" spans="1:1" x14ac:dyDescent="0.25">
      <c r="A55" t="s">
        <v>140</v>
      </c>
    </row>
    <row r="56" spans="1:1" x14ac:dyDescent="0.25">
      <c r="A56" t="s">
        <v>141</v>
      </c>
    </row>
    <row r="57" spans="1:1" x14ac:dyDescent="0.25">
      <c r="A57" t="s">
        <v>142</v>
      </c>
    </row>
  </sheetData>
  <sheetProtection sheet="1" formatCells="0" formatColumns="0" formatRows="0" autoFilter="0" algorithmName="SHA-512" hashValue="r7NjN6dRxhYp0+bTO5xiEUSkZpEAXzWoRUJVkztCuWN/kUEHN45ESrXLJR6Neh/ygtj+UW0Mfixpug1DGWEyBA==" saltValue="UbG4uLDYVpCXIqrcgi3jTQ==" spinCount="100000"/>
  <mergeCells count="5">
    <mergeCell ref="A1:F1"/>
    <mergeCell ref="A3:F3"/>
    <mergeCell ref="A15:F15"/>
    <mergeCell ref="A33:F33"/>
    <mergeCell ref="A52:F5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4" width="26" customWidth="1"/>
    <col min="5" max="5" width="20" customWidth="1"/>
    <col min="6" max="6" width="18" customWidth="1"/>
    <col min="7" max="7" width="20" customWidth="1"/>
    <col min="8" max="8" width="24" customWidth="1"/>
    <col min="9" max="9" width="11" customWidth="1"/>
    <col min="10" max="10" width="13" style="14" customWidth="1"/>
    <col min="11" max="12" width="14" customWidth="1"/>
    <col min="13" max="14" width="12" customWidth="1"/>
    <col min="15" max="15" width="14" customWidth="1"/>
    <col min="16" max="16" width="22" customWidth="1"/>
    <col min="17" max="17" width="24" customWidth="1"/>
  </cols>
  <sheetData>
    <row r="1" ht="24" customHeight="1" spans="1:17" x14ac:dyDescent="0.25">
      <c r="A1" s="15" t="s">
        <v>143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3" spans="1:10" x14ac:dyDescent="0.25">
      <c r="A3" s="2" t="s">
        <v>144</v>
      </c>
      <c r="J3" s="14"/>
    </row>
    <row r="5" ht="28" customHeight="1" spans="1:17" x14ac:dyDescent="0.25">
      <c r="A5" s="8" t="s">
        <v>145</v>
      </c>
      <c r="B5" s="8" t="s">
        <v>146</v>
      </c>
      <c r="C5" s="8" t="s">
        <v>147</v>
      </c>
      <c r="D5" s="8" t="s">
        <v>148</v>
      </c>
      <c r="E5" s="8" t="s">
        <v>11</v>
      </c>
      <c r="F5" s="8" t="s">
        <v>13</v>
      </c>
      <c r="G5" s="8" t="s">
        <v>149</v>
      </c>
      <c r="H5" s="8" t="s">
        <v>150</v>
      </c>
      <c r="I5" s="8" t="s">
        <v>151</v>
      </c>
      <c r="J5" s="16" t="s">
        <v>152</v>
      </c>
      <c r="K5" s="8" t="s">
        <v>153</v>
      </c>
      <c r="L5" s="8" t="s">
        <v>154</v>
      </c>
      <c r="M5" s="8" t="s">
        <v>155</v>
      </c>
      <c r="N5" s="8" t="s">
        <v>156</v>
      </c>
      <c r="O5" s="8" t="s">
        <v>157</v>
      </c>
      <c r="P5" s="8" t="s">
        <v>158</v>
      </c>
      <c r="Q5" s="8" t="s">
        <v>159</v>
      </c>
    </row>
    <row r="6" spans="1:17" x14ac:dyDescent="0.25">
      <c r="A6" s="10" t="s">
        <v>160</v>
      </c>
      <c r="B6" s="10" t="s">
        <v>161</v>
      </c>
      <c r="C6" s="10" t="s">
        <v>162</v>
      </c>
      <c r="D6" s="9">
        <f>TRIM(B6&amp;" "&amp;C6)</f>
      </c>
      <c r="E6" s="17" t="s">
        <v>14</v>
      </c>
      <c r="F6" s="17" t="s">
        <v>15</v>
      </c>
      <c r="G6" s="17" t="s">
        <v>163</v>
      </c>
      <c r="H6" s="17"/>
      <c r="I6" s="17" t="s">
        <v>101</v>
      </c>
      <c r="J6" s="18"/>
      <c r="K6" s="17" t="s">
        <v>4</v>
      </c>
      <c r="L6" s="17">
        <v>150000</v>
      </c>
      <c r="M6" s="19">
        <f>IF(L6="","",ROUND(L6/'00_Parametres'!$B$21,0))</f>
      </c>
      <c r="N6" s="19">
        <f>IF(M6="","",ROUND(M6*'00_Parametres'!$B$22,0))</f>
      </c>
      <c r="O6" s="10"/>
      <c r="P6" s="10"/>
      <c r="Q6" s="10"/>
    </row>
    <row r="7" spans="1:17" x14ac:dyDescent="0.25">
      <c r="A7" s="10" t="s">
        <v>164</v>
      </c>
      <c r="B7" s="10" t="s">
        <v>165</v>
      </c>
      <c r="C7" s="10" t="s">
        <v>166</v>
      </c>
      <c r="D7" s="9">
        <f>TRIM(B7&amp;" "&amp;C7)</f>
      </c>
      <c r="E7" s="17" t="s">
        <v>16</v>
      </c>
      <c r="F7" s="17" t="s">
        <v>15</v>
      </c>
      <c r="G7" s="17" t="s">
        <v>167</v>
      </c>
      <c r="H7" s="17"/>
      <c r="I7" s="17" t="s">
        <v>101</v>
      </c>
      <c r="J7" s="18"/>
      <c r="K7" s="17" t="s">
        <v>4</v>
      </c>
      <c r="L7" s="17">
        <v>100000</v>
      </c>
      <c r="M7" s="19">
        <f>IF(L7="","",ROUND(L7/'00_Parametres'!$B$21,0))</f>
      </c>
      <c r="N7" s="19">
        <f>IF(M7="","",ROUND(M7*'00_Parametres'!$B$22,0))</f>
      </c>
      <c r="O7" s="10"/>
      <c r="P7" s="10"/>
      <c r="Q7" s="10"/>
    </row>
    <row r="8" spans="1:17" x14ac:dyDescent="0.25">
      <c r="A8" s="10" t="s">
        <v>168</v>
      </c>
      <c r="B8" s="10" t="s">
        <v>169</v>
      </c>
      <c r="C8" s="10" t="s">
        <v>170</v>
      </c>
      <c r="D8" s="9">
        <f>TRIM(B8&amp;" "&amp;C8)</f>
      </c>
      <c r="E8" s="17" t="s">
        <v>18</v>
      </c>
      <c r="F8" s="17" t="s">
        <v>17</v>
      </c>
      <c r="G8" s="17" t="s">
        <v>171</v>
      </c>
      <c r="H8" s="17"/>
      <c r="I8" s="17" t="s">
        <v>101</v>
      </c>
      <c r="J8" s="18"/>
      <c r="K8" s="17" t="s">
        <v>4</v>
      </c>
      <c r="L8" s="17">
        <v>150000</v>
      </c>
      <c r="M8" s="19">
        <f>IF(L8="","",ROUND(L8/'00_Parametres'!$B$21,0))</f>
      </c>
      <c r="N8" s="19">
        <f>IF(M8="","",ROUND(M8*'00_Parametres'!$B$22,0))</f>
      </c>
      <c r="O8" s="10"/>
      <c r="P8" s="10"/>
      <c r="Q8" s="10"/>
    </row>
    <row r="9" spans="1:17" x14ac:dyDescent="0.25">
      <c r="A9" s="10" t="s">
        <v>172</v>
      </c>
      <c r="B9" s="10" t="s">
        <v>173</v>
      </c>
      <c r="C9" s="10" t="s">
        <v>174</v>
      </c>
      <c r="D9" s="9">
        <f>TRIM(B9&amp;" "&amp;C9)</f>
      </c>
      <c r="E9" s="17" t="s">
        <v>20</v>
      </c>
      <c r="F9" s="17" t="s">
        <v>19</v>
      </c>
      <c r="G9" s="17" t="s">
        <v>175</v>
      </c>
      <c r="H9" s="17"/>
      <c r="I9" s="17" t="s">
        <v>101</v>
      </c>
      <c r="J9" s="18"/>
      <c r="K9" s="17" t="s">
        <v>4</v>
      </c>
      <c r="L9" s="17">
        <v>120000</v>
      </c>
      <c r="M9" s="19">
        <f>IF(L9="","",ROUND(L9/'00_Parametres'!$B$21,0))</f>
      </c>
      <c r="N9" s="19">
        <f>IF(M9="","",ROUND(M9*'00_Parametres'!$B$22,0))</f>
      </c>
      <c r="O9" s="10"/>
      <c r="P9" s="10"/>
      <c r="Q9" s="10"/>
    </row>
    <row r="10" spans="1:17" x14ac:dyDescent="0.25">
      <c r="A10" s="10" t="s">
        <v>176</v>
      </c>
      <c r="B10" s="10" t="s">
        <v>177</v>
      </c>
      <c r="C10" s="10" t="s">
        <v>178</v>
      </c>
      <c r="D10" s="9">
        <f>TRIM(B10&amp;" "&amp;C10)</f>
      </c>
      <c r="E10" s="17" t="s">
        <v>22</v>
      </c>
      <c r="F10" s="17" t="s">
        <v>21</v>
      </c>
      <c r="G10" s="17" t="s">
        <v>179</v>
      </c>
      <c r="H10" s="17"/>
      <c r="I10" s="17" t="s">
        <v>101</v>
      </c>
      <c r="J10" s="18"/>
      <c r="K10" s="17" t="s">
        <v>110</v>
      </c>
      <c r="L10" s="17">
        <v>80000</v>
      </c>
      <c r="M10" s="19">
        <f>IF(L10="","",ROUND(L10/'00_Parametres'!$B$21,0))</f>
      </c>
      <c r="N10" s="19">
        <f>IF(M10="","",ROUND(M10*'00_Parametres'!$B$22,0))</f>
      </c>
      <c r="O10" s="10"/>
      <c r="P10" s="10"/>
      <c r="Q10" s="10"/>
    </row>
    <row r="11" spans="1:17" x14ac:dyDescent="0.25">
      <c r="A11" s="10" t="s">
        <v>180</v>
      </c>
      <c r="B11" s="10" t="s">
        <v>181</v>
      </c>
      <c r="C11" s="10" t="s">
        <v>182</v>
      </c>
      <c r="D11" s="9">
        <f>TRIM(B11&amp;" "&amp;C11)</f>
      </c>
      <c r="E11" s="17" t="s">
        <v>20</v>
      </c>
      <c r="F11" s="17" t="s">
        <v>19</v>
      </c>
      <c r="G11" s="17" t="s">
        <v>183</v>
      </c>
      <c r="H11" s="17"/>
      <c r="I11" s="17" t="s">
        <v>101</v>
      </c>
      <c r="J11" s="18"/>
      <c r="K11" s="17" t="s">
        <v>110</v>
      </c>
      <c r="L11" s="17">
        <v>80000</v>
      </c>
      <c r="M11" s="19">
        <f>IF(L11="","",ROUND(L11/'00_Parametres'!$B$21,0))</f>
      </c>
      <c r="N11" s="19">
        <f>IF(M11="","",ROUND(M11*'00_Parametres'!$B$22,0))</f>
      </c>
      <c r="O11" s="10"/>
      <c r="P11" s="10"/>
      <c r="Q11" s="10"/>
    </row>
    <row r="12" spans="1:17" x14ac:dyDescent="0.25">
      <c r="A12" s="10" t="s">
        <v>184</v>
      </c>
      <c r="B12" s="10" t="s">
        <v>185</v>
      </c>
      <c r="C12" s="10" t="s">
        <v>186</v>
      </c>
      <c r="D12" s="9">
        <f>TRIM(B12&amp;" "&amp;C12)</f>
      </c>
      <c r="E12" s="17" t="s">
        <v>24</v>
      </c>
      <c r="F12" s="17" t="s">
        <v>23</v>
      </c>
      <c r="G12" s="17" t="s">
        <v>187</v>
      </c>
      <c r="H12" s="17" t="s">
        <v>188</v>
      </c>
      <c r="I12" s="17" t="s">
        <v>101</v>
      </c>
      <c r="J12" s="18"/>
      <c r="K12" s="17" t="s">
        <v>110</v>
      </c>
      <c r="L12" s="17">
        <v>80000</v>
      </c>
      <c r="M12" s="19">
        <f>IF(L12="","",ROUND(L12/'00_Parametres'!$B$21,0))</f>
      </c>
      <c r="N12" s="19">
        <f>IF(M12="","",ROUND(M12*'00_Parametres'!$B$22,0))</f>
      </c>
      <c r="O12" s="10"/>
      <c r="P12" s="10"/>
      <c r="Q12" s="10"/>
    </row>
    <row r="13" spans="1:17" x14ac:dyDescent="0.25">
      <c r="A13" s="10" t="s">
        <v>189</v>
      </c>
      <c r="B13" s="10" t="s">
        <v>190</v>
      </c>
      <c r="C13" s="10" t="s">
        <v>191</v>
      </c>
      <c r="D13" s="9">
        <f>TRIM(B13&amp;" "&amp;C13)</f>
      </c>
      <c r="E13" s="17" t="s">
        <v>20</v>
      </c>
      <c r="F13" s="17" t="s">
        <v>19</v>
      </c>
      <c r="G13" s="17" t="s">
        <v>192</v>
      </c>
      <c r="H13" s="17"/>
      <c r="I13" s="17" t="s">
        <v>101</v>
      </c>
      <c r="J13" s="18"/>
      <c r="K13" s="17" t="s">
        <v>110</v>
      </c>
      <c r="L13" s="17">
        <v>80000</v>
      </c>
      <c r="M13" s="19">
        <f>IF(L13="","",ROUND(L13/'00_Parametres'!$B$21,0))</f>
      </c>
      <c r="N13" s="19">
        <f>IF(M13="","",ROUND(M13*'00_Parametres'!$B$22,0))</f>
      </c>
      <c r="O13" s="10"/>
      <c r="P13" s="10"/>
      <c r="Q13" s="10"/>
    </row>
    <row r="14" spans="1:17" x14ac:dyDescent="0.25">
      <c r="A14" s="10" t="s">
        <v>193</v>
      </c>
      <c r="B14" s="10" t="s">
        <v>194</v>
      </c>
      <c r="C14" s="10" t="s">
        <v>195</v>
      </c>
      <c r="D14" s="9">
        <f>TRIM(B14&amp;" "&amp;C14)</f>
      </c>
      <c r="E14" s="17" t="s">
        <v>20</v>
      </c>
      <c r="F14" s="17" t="s">
        <v>19</v>
      </c>
      <c r="G14" s="17" t="s">
        <v>196</v>
      </c>
      <c r="H14" s="17"/>
      <c r="I14" s="17" t="s">
        <v>101</v>
      </c>
      <c r="J14" s="18"/>
      <c r="K14" s="17" t="s">
        <v>110</v>
      </c>
      <c r="L14" s="17">
        <v>80000</v>
      </c>
      <c r="M14" s="19">
        <f>IF(L14="","",ROUND(L14/'00_Parametres'!$B$21,0))</f>
      </c>
      <c r="N14" s="19">
        <f>IF(M14="","",ROUND(M14*'00_Parametres'!$B$22,0))</f>
      </c>
      <c r="O14" s="10"/>
      <c r="P14" s="10"/>
      <c r="Q14" s="10"/>
    </row>
    <row r="15" spans="1:17" x14ac:dyDescent="0.25">
      <c r="A15" s="10" t="s">
        <v>197</v>
      </c>
      <c r="B15" s="10" t="s">
        <v>198</v>
      </c>
      <c r="C15" s="10" t="s">
        <v>199</v>
      </c>
      <c r="D15" s="9">
        <f>TRIM(B15&amp;" "&amp;C15)</f>
      </c>
      <c r="E15" s="17" t="s">
        <v>20</v>
      </c>
      <c r="F15" s="17" t="s">
        <v>19</v>
      </c>
      <c r="G15" s="17" t="s">
        <v>200</v>
      </c>
      <c r="H15" s="17"/>
      <c r="I15" s="17" t="s">
        <v>101</v>
      </c>
      <c r="J15" s="18"/>
      <c r="K15" s="17" t="s">
        <v>110</v>
      </c>
      <c r="L15" s="17">
        <v>80000</v>
      </c>
      <c r="M15" s="19">
        <f>IF(L15="","",ROUND(L15/'00_Parametres'!$B$21,0))</f>
      </c>
      <c r="N15" s="19">
        <f>IF(M15="","",ROUND(M15*'00_Parametres'!$B$22,0))</f>
      </c>
      <c r="O15" s="10"/>
      <c r="P15" s="10"/>
      <c r="Q15" s="10"/>
    </row>
    <row r="16" spans="1:17" x14ac:dyDescent="0.25">
      <c r="A16" s="10" t="s">
        <v>201</v>
      </c>
      <c r="B16" s="10" t="s">
        <v>202</v>
      </c>
      <c r="C16" s="10" t="s">
        <v>203</v>
      </c>
      <c r="D16" s="9">
        <f>TRIM(B16&amp;" "&amp;C16)</f>
      </c>
      <c r="E16" s="17" t="s">
        <v>26</v>
      </c>
      <c r="F16" s="17" t="s">
        <v>19</v>
      </c>
      <c r="G16" s="17" t="s">
        <v>204</v>
      </c>
      <c r="H16" s="17"/>
      <c r="I16" s="17" t="s">
        <v>101</v>
      </c>
      <c r="J16" s="18"/>
      <c r="K16" s="17" t="s">
        <v>110</v>
      </c>
      <c r="L16" s="17">
        <v>80000</v>
      </c>
      <c r="M16" s="19">
        <f>IF(L16="","",ROUND(L16/'00_Parametres'!$B$21,0))</f>
      </c>
      <c r="N16" s="19">
        <f>IF(M16="","",ROUND(M16*'00_Parametres'!$B$22,0))</f>
      </c>
      <c r="O16" s="10"/>
      <c r="P16" s="10"/>
      <c r="Q16" s="10"/>
    </row>
    <row r="17" spans="1:17" x14ac:dyDescent="0.25">
      <c r="A17" s="10" t="s">
        <v>205</v>
      </c>
      <c r="B17" s="10" t="s">
        <v>206</v>
      </c>
      <c r="C17" s="10" t="s">
        <v>207</v>
      </c>
      <c r="D17" s="9">
        <f>TRIM(B17&amp;" "&amp;C17)</f>
      </c>
      <c r="E17" s="17" t="s">
        <v>20</v>
      </c>
      <c r="F17" s="17" t="s">
        <v>19</v>
      </c>
      <c r="G17" s="17" t="s">
        <v>208</v>
      </c>
      <c r="H17" s="17"/>
      <c r="I17" s="17" t="s">
        <v>101</v>
      </c>
      <c r="J17" s="18"/>
      <c r="K17" s="17" t="s">
        <v>110</v>
      </c>
      <c r="L17" s="17">
        <v>80000</v>
      </c>
      <c r="M17" s="19">
        <f>IF(L17="","",ROUND(L17/'00_Parametres'!$B$21,0))</f>
      </c>
      <c r="N17" s="19">
        <f>IF(M17="","",ROUND(M17*'00_Parametres'!$B$22,0))</f>
      </c>
      <c r="O17" s="10"/>
      <c r="P17" s="10"/>
      <c r="Q17" s="10"/>
    </row>
    <row r="18" spans="1:17" x14ac:dyDescent="0.25">
      <c r="A18" s="10" t="s">
        <v>209</v>
      </c>
      <c r="B18" s="10" t="s">
        <v>210</v>
      </c>
      <c r="C18" s="10" t="s">
        <v>211</v>
      </c>
      <c r="D18" s="9">
        <f>TRIM(B18&amp;" "&amp;C18)</f>
      </c>
      <c r="E18" s="17" t="s">
        <v>27</v>
      </c>
      <c r="F18" s="17" t="s">
        <v>15</v>
      </c>
      <c r="G18" s="17" t="s">
        <v>212</v>
      </c>
      <c r="H18" s="17" t="s">
        <v>213</v>
      </c>
      <c r="I18" s="17" t="s">
        <v>101</v>
      </c>
      <c r="J18" s="18"/>
      <c r="K18" s="17" t="s">
        <v>105</v>
      </c>
      <c r="L18" s="17">
        <v>200000</v>
      </c>
      <c r="M18" s="19">
        <f>IF(L18="","",ROUND(L18/'00_Parametres'!$B$21,0))</f>
      </c>
      <c r="N18" s="19">
        <f>IF(M18="","",ROUND(M18*'00_Parametres'!$B$22,0))</f>
      </c>
      <c r="O18" s="10"/>
      <c r="P18" s="10"/>
      <c r="Q18" s="10"/>
    </row>
    <row r="19" spans="1:17" x14ac:dyDescent="0.25">
      <c r="A19" s="10" t="s">
        <v>214</v>
      </c>
      <c r="B19" s="10" t="s">
        <v>215</v>
      </c>
      <c r="C19" s="10" t="s">
        <v>216</v>
      </c>
      <c r="D19" s="9">
        <f>TRIM(B19&amp;" "&amp;C19)</f>
      </c>
      <c r="E19" s="17" t="s">
        <v>20</v>
      </c>
      <c r="F19" s="17" t="s">
        <v>19</v>
      </c>
      <c r="G19" s="17" t="s">
        <v>217</v>
      </c>
      <c r="H19" s="17"/>
      <c r="I19" s="17" t="s">
        <v>101</v>
      </c>
      <c r="J19" s="18">
        <v>46223</v>
      </c>
      <c r="K19" s="17" t="s">
        <v>110</v>
      </c>
      <c r="L19" s="17">
        <v>80000</v>
      </c>
      <c r="M19" s="19">
        <f>IF(L19="","",ROUND(L19/'00_Parametres'!$B$21,0))</f>
      </c>
      <c r="N19" s="19">
        <f>IF(M19="","",ROUND(M19*'00_Parametres'!$B$22,0))</f>
      </c>
      <c r="O19" s="10"/>
      <c r="P19" s="10"/>
      <c r="Q19" s="10"/>
    </row>
    <row r="20" spans="1:17" x14ac:dyDescent="0.25">
      <c r="A20" s="10"/>
      <c r="B20" s="10"/>
      <c r="C20" s="10"/>
      <c r="D20" s="9">
        <f>TRIM(B20&amp;" "&amp;C20)</f>
      </c>
      <c r="E20" s="17"/>
      <c r="F20" s="17"/>
      <c r="G20" s="17"/>
      <c r="H20" s="17"/>
      <c r="I20" s="17"/>
      <c r="J20" s="18"/>
      <c r="K20" s="17"/>
      <c r="L20" s="17"/>
      <c r="M20" s="19">
        <f>IF(L20="","",ROUND(L20/'00_Parametres'!$B$21,0))</f>
      </c>
      <c r="N20" s="19">
        <f>IF(M20="","",ROUND(M20*'00_Parametres'!$B$22,0))</f>
      </c>
      <c r="O20" s="10"/>
      <c r="P20" s="10"/>
      <c r="Q20" s="10"/>
    </row>
    <row r="21" spans="1:17" x14ac:dyDescent="0.25">
      <c r="A21" s="10"/>
      <c r="B21" s="10"/>
      <c r="C21" s="10"/>
      <c r="D21" s="9">
        <f>TRIM(B21&amp;" "&amp;C21)</f>
      </c>
      <c r="E21" s="17"/>
      <c r="F21" s="17"/>
      <c r="G21" s="17"/>
      <c r="H21" s="17"/>
      <c r="I21" s="17"/>
      <c r="J21" s="18"/>
      <c r="K21" s="17"/>
      <c r="L21" s="17"/>
      <c r="M21" s="19">
        <f>IF(L21="","",ROUND(L21/'00_Parametres'!$B$21,0))</f>
      </c>
      <c r="N21" s="19">
        <f>IF(M21="","",ROUND(M21*'00_Parametres'!$B$22,0))</f>
      </c>
      <c r="O21" s="10"/>
      <c r="P21" s="10"/>
      <c r="Q21" s="10"/>
    </row>
    <row r="22" spans="1:17" x14ac:dyDescent="0.25">
      <c r="A22" s="10"/>
      <c r="B22" s="10"/>
      <c r="C22" s="10"/>
      <c r="D22" s="9">
        <f>TRIM(B22&amp;" "&amp;C22)</f>
      </c>
      <c r="E22" s="17"/>
      <c r="F22" s="17"/>
      <c r="G22" s="17"/>
      <c r="H22" s="17"/>
      <c r="I22" s="17"/>
      <c r="J22" s="18"/>
      <c r="K22" s="17"/>
      <c r="L22" s="17"/>
      <c r="M22" s="19">
        <f>IF(L22="","",ROUND(L22/'00_Parametres'!$B$21,0))</f>
      </c>
      <c r="N22" s="19">
        <f>IF(M22="","",ROUND(M22*'00_Parametres'!$B$22,0))</f>
      </c>
      <c r="O22" s="10"/>
      <c r="P22" s="10"/>
      <c r="Q22" s="10"/>
    </row>
    <row r="23" spans="1:17" x14ac:dyDescent="0.25">
      <c r="A23" s="10"/>
      <c r="B23" s="10"/>
      <c r="C23" s="10"/>
      <c r="D23" s="9">
        <f>TRIM(B23&amp;" "&amp;C23)</f>
      </c>
      <c r="E23" s="17"/>
      <c r="F23" s="17"/>
      <c r="G23" s="17"/>
      <c r="H23" s="17"/>
      <c r="I23" s="17"/>
      <c r="J23" s="18"/>
      <c r="K23" s="17"/>
      <c r="L23" s="17"/>
      <c r="M23" s="19">
        <f>IF(L23="","",ROUND(L23/'00_Parametres'!$B$21,0))</f>
      </c>
      <c r="N23" s="19">
        <f>IF(M23="","",ROUND(M23*'00_Parametres'!$B$22,0))</f>
      </c>
      <c r="O23" s="10"/>
      <c r="P23" s="10"/>
      <c r="Q23" s="10"/>
    </row>
    <row r="24" spans="1:17" x14ac:dyDescent="0.25">
      <c r="A24" s="10"/>
      <c r="B24" s="10"/>
      <c r="C24" s="10"/>
      <c r="D24" s="9">
        <f>TRIM(B24&amp;" "&amp;C24)</f>
      </c>
      <c r="E24" s="17"/>
      <c r="F24" s="17"/>
      <c r="G24" s="17"/>
      <c r="H24" s="17"/>
      <c r="I24" s="17"/>
      <c r="J24" s="18"/>
      <c r="K24" s="17"/>
      <c r="L24" s="17"/>
      <c r="M24" s="19">
        <f>IF(L24="","",ROUND(L24/'00_Parametres'!$B$21,0))</f>
      </c>
      <c r="N24" s="19">
        <f>IF(M24="","",ROUND(M24*'00_Parametres'!$B$22,0))</f>
      </c>
      <c r="O24" s="10"/>
      <c r="P24" s="10"/>
      <c r="Q24" s="10"/>
    </row>
    <row r="25" spans="1:17" x14ac:dyDescent="0.25">
      <c r="A25" s="10"/>
      <c r="B25" s="10"/>
      <c r="C25" s="10"/>
      <c r="D25" s="9">
        <f>TRIM(B25&amp;" "&amp;C25)</f>
      </c>
      <c r="E25" s="17"/>
      <c r="F25" s="17"/>
      <c r="G25" s="17"/>
      <c r="H25" s="17"/>
      <c r="I25" s="17"/>
      <c r="J25" s="18"/>
      <c r="K25" s="17"/>
      <c r="L25" s="17"/>
      <c r="M25" s="19">
        <f>IF(L25="","",ROUND(L25/'00_Parametres'!$B$21,0))</f>
      </c>
      <c r="N25" s="19">
        <f>IF(M25="","",ROUND(M25*'00_Parametres'!$B$22,0))</f>
      </c>
      <c r="O25" s="10"/>
      <c r="P25" s="10"/>
      <c r="Q25" s="10"/>
    </row>
    <row r="26" spans="1:17" x14ac:dyDescent="0.25">
      <c r="A26" s="10"/>
      <c r="B26" s="10"/>
      <c r="C26" s="10"/>
      <c r="D26" s="9">
        <f>TRIM(B26&amp;" "&amp;C26)</f>
      </c>
      <c r="E26" s="17"/>
      <c r="F26" s="17"/>
      <c r="G26" s="17"/>
      <c r="H26" s="17"/>
      <c r="I26" s="17"/>
      <c r="J26" s="18"/>
      <c r="K26" s="17"/>
      <c r="L26" s="17"/>
      <c r="M26" s="19">
        <f>IF(L26="","",ROUND(L26/'00_Parametres'!$B$21,0))</f>
      </c>
      <c r="N26" s="19">
        <f>IF(M26="","",ROUND(M26*'00_Parametres'!$B$22,0))</f>
      </c>
      <c r="O26" s="10"/>
      <c r="P26" s="10"/>
      <c r="Q26" s="10"/>
    </row>
    <row r="27" spans="1:17" x14ac:dyDescent="0.25">
      <c r="A27" s="10"/>
      <c r="B27" s="10"/>
      <c r="C27" s="10"/>
      <c r="D27" s="9">
        <f>TRIM(B27&amp;" "&amp;C27)</f>
      </c>
      <c r="E27" s="17"/>
      <c r="F27" s="17"/>
      <c r="G27" s="17"/>
      <c r="H27" s="17"/>
      <c r="I27" s="17"/>
      <c r="J27" s="18"/>
      <c r="K27" s="17"/>
      <c r="L27" s="17"/>
      <c r="M27" s="19">
        <f>IF(L27="","",ROUND(L27/'00_Parametres'!$B$21,0))</f>
      </c>
      <c r="N27" s="19">
        <f>IF(M27="","",ROUND(M27*'00_Parametres'!$B$22,0))</f>
      </c>
      <c r="O27" s="10"/>
      <c r="P27" s="10"/>
      <c r="Q27" s="10"/>
    </row>
    <row r="28" spans="1:17" x14ac:dyDescent="0.25">
      <c r="A28" s="10"/>
      <c r="B28" s="10"/>
      <c r="C28" s="10"/>
      <c r="D28" s="9">
        <f>TRIM(B28&amp;" "&amp;C28)</f>
      </c>
      <c r="E28" s="17"/>
      <c r="F28" s="17"/>
      <c r="G28" s="17"/>
      <c r="H28" s="17"/>
      <c r="I28" s="17"/>
      <c r="J28" s="18"/>
      <c r="K28" s="17"/>
      <c r="L28" s="17"/>
      <c r="M28" s="19">
        <f>IF(L28="","",ROUND(L28/'00_Parametres'!$B$21,0))</f>
      </c>
      <c r="N28" s="19">
        <f>IF(M28="","",ROUND(M28*'00_Parametres'!$B$22,0))</f>
      </c>
      <c r="O28" s="10"/>
      <c r="P28" s="10"/>
      <c r="Q28" s="10"/>
    </row>
    <row r="29" spans="1:17" x14ac:dyDescent="0.25">
      <c r="A29" s="10"/>
      <c r="B29" s="10"/>
      <c r="C29" s="10"/>
      <c r="D29" s="9">
        <f>TRIM(B29&amp;" "&amp;C29)</f>
      </c>
      <c r="E29" s="17"/>
      <c r="F29" s="17"/>
      <c r="G29" s="17"/>
      <c r="H29" s="17"/>
      <c r="I29" s="17"/>
      <c r="J29" s="18"/>
      <c r="K29" s="17"/>
      <c r="L29" s="17"/>
      <c r="M29" s="19">
        <f>IF(L29="","",ROUND(L29/'00_Parametres'!$B$21,0))</f>
      </c>
      <c r="N29" s="19">
        <f>IF(M29="","",ROUND(M29*'00_Parametres'!$B$22,0))</f>
      </c>
      <c r="O29" s="10"/>
      <c r="P29" s="10"/>
      <c r="Q29" s="10"/>
    </row>
    <row r="30" spans="1:17" x14ac:dyDescent="0.25">
      <c r="A30" s="10"/>
      <c r="B30" s="10"/>
      <c r="C30" s="10"/>
      <c r="D30" s="9">
        <f>TRIM(B30&amp;" "&amp;C30)</f>
      </c>
      <c r="E30" s="17"/>
      <c r="F30" s="17"/>
      <c r="G30" s="17"/>
      <c r="H30" s="17"/>
      <c r="I30" s="17"/>
      <c r="J30" s="18"/>
      <c r="K30" s="17"/>
      <c r="L30" s="17"/>
      <c r="M30" s="19">
        <f>IF(L30="","",ROUND(L30/'00_Parametres'!$B$21,0))</f>
      </c>
      <c r="N30" s="19">
        <f>IF(M30="","",ROUND(M30*'00_Parametres'!$B$22,0))</f>
      </c>
      <c r="O30" s="10"/>
      <c r="P30" s="10"/>
      <c r="Q30" s="10"/>
    </row>
  </sheetData>
  <sheetProtection sheet="1" formatCells="0" formatColumns="0" formatRows="0" autoFilter="0" algorithmName="SHA-512" hashValue="UUVMovh9aE9oqADztKtGaF5EI7L2U5BUJx63R+N23F1G3teVSQxjboDbePOlq6WGvjLDUu/0fCI0QXfaidU4pQ==" saltValue="lyOWFZnS7+30/19RAOCUEQ==" spinCount="100000"/>
  <mergeCells count="1">
    <mergeCell ref="A1:Q1"/>
  </mergeCells>
  <dataValidations count="12">
    <dataValidation type="list" allowBlank="1" sqref="E10:E30">
      <formula1>='00_Parametres'!$A$40:$A$49</formula1>
    </dataValidation>
    <dataValidation type="list" allowBlank="1" sqref="E6:E30">
      <formula1>='00_Parametres'!$A$40:$A$49</formula1>
    </dataValidation>
    <dataValidation type="list" allowBlank="1" sqref="F10:F30">
      <formula1>='00_Parametres'!$B$40:$B$45</formula1>
    </dataValidation>
    <dataValidation type="list" allowBlank="1" sqref="F6:F30">
      <formula1>='00_Parametres'!$B$40:$B$45</formula1>
    </dataValidation>
    <dataValidation type="list" allowBlank="1" sqref="I10:I30">
      <formula1>='00_Parametres'!$D$40:$D$45</formula1>
    </dataValidation>
    <dataValidation type="list" allowBlank="1" sqref="I6:I30">
      <formula1>='00_Parametres'!$D$40:$D$45</formula1>
    </dataValidation>
    <dataValidation type="date" operator="lessThan" allowBlank="1" errorTitle="Date invalide" error="Format JJ/MM/AAAA." sqref="J10:J30">
      <formula1>NaN</formula1>
    </dataValidation>
    <dataValidation type="date" operator="lessThan" allowBlank="1" errorTitle="Date invalide" error="Format JJ/MM/AAAA." sqref="J6:J30">
      <formula1>NaN</formula1>
    </dataValidation>
    <dataValidation type="list" allowBlank="1" sqref="K10:K30">
      <formula1>='00_Parametres'!$C$40:$C$45</formula1>
    </dataValidation>
    <dataValidation type="list" allowBlank="1" sqref="K6:K30">
      <formula1>='00_Parametres'!$C$40:$C$45</formula1>
    </dataValidation>
    <dataValidation type="whole" operator="greaterThan" allowBlank="1" errorTitle="Salaire invalide" error="Nombre ENTIER sans espace (ex : 80000)." sqref="L10:L30">
      <formula1>0</formula1>
    </dataValidation>
    <dataValidation type="whole" operator="greaterThan" allowBlank="1" errorTitle="Salaire invalide" error="Nombre ENTIER sans espace (ex : 80000)." sqref="L6:L3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5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1" style="14" customWidth="1"/>
    <col min="2" max="2" width="11" customWidth="1"/>
    <col min="3" max="3" width="24" customWidth="1"/>
    <col min="4" max="6" width="10" customWidth="1"/>
    <col min="7" max="7" width="7" customWidth="1"/>
    <col min="8" max="9" width="10" style="20" customWidth="1"/>
    <col min="10" max="13" width="10" customWidth="1"/>
    <col min="15" max="17" width="10" customWidth="1"/>
    <col min="19" max="19" width="8" customWidth="1"/>
    <col min="20" max="20" width="11" customWidth="1"/>
    <col min="21" max="21" width="28" customWidth="1"/>
  </cols>
  <sheetData>
    <row r="1" ht="24" customHeight="1" spans="1:21" x14ac:dyDescent="0.25">
      <c r="A1" s="21" t="s">
        <v>218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9" x14ac:dyDescent="0.25">
      <c r="A2" s="22" t="s">
        <v>219</v>
      </c>
      <c r="H2" s="20"/>
      <c r="I2" s="20"/>
    </row>
    <row r="3" spans="1:9" x14ac:dyDescent="0.25">
      <c r="A3" s="22" t="s">
        <v>220</v>
      </c>
      <c r="H3" s="20"/>
      <c r="I3" s="20"/>
    </row>
    <row r="5" ht="28" customHeight="1" spans="1:21" x14ac:dyDescent="0.25">
      <c r="A5" s="16" t="s">
        <v>221</v>
      </c>
      <c r="B5" s="8" t="s">
        <v>222</v>
      </c>
      <c r="C5" s="8" t="s">
        <v>148</v>
      </c>
      <c r="D5" s="8" t="s">
        <v>55</v>
      </c>
      <c r="E5" s="8" t="s">
        <v>223</v>
      </c>
      <c r="F5" s="8" t="s">
        <v>224</v>
      </c>
      <c r="G5" s="8" t="s">
        <v>59</v>
      </c>
      <c r="H5" s="23" t="s">
        <v>225</v>
      </c>
      <c r="I5" s="23" t="s">
        <v>226</v>
      </c>
      <c r="J5" s="8" t="s">
        <v>227</v>
      </c>
      <c r="K5" s="8" t="s">
        <v>228</v>
      </c>
      <c r="L5" s="8" t="s">
        <v>229</v>
      </c>
      <c r="M5" s="8" t="s">
        <v>230</v>
      </c>
      <c r="N5" s="8" t="s">
        <v>231</v>
      </c>
      <c r="O5" s="8" t="s">
        <v>232</v>
      </c>
      <c r="P5" s="8" t="s">
        <v>233</v>
      </c>
      <c r="Q5" s="8" t="s">
        <v>234</v>
      </c>
      <c r="R5" s="8" t="s">
        <v>235</v>
      </c>
      <c r="S5" s="8" t="s">
        <v>236</v>
      </c>
      <c r="T5" s="8" t="s">
        <v>237</v>
      </c>
      <c r="U5" s="8" t="s">
        <v>238</v>
      </c>
    </row>
    <row r="6" spans="1:21" x14ac:dyDescent="0.25">
      <c r="A6" s="18">
        <v>46258</v>
      </c>
      <c r="B6" s="18" t="s">
        <v>160</v>
      </c>
      <c r="C6" s="9">
        <f>IF(B6="","",IFERROR(VLOOKUP(B6,'01_Employes'!$A$6:$Q$30,4,FALSE),"⚠ ID inconnu"))</f>
      </c>
      <c r="D6" s="9">
        <f>IF(A6="","",TEXT(A6,"dddd"))</f>
      </c>
      <c r="E6" s="24">
        <f>IF(A6="","",IFERROR(INDEX('00_Parametres'!$C$7:$C$13,WEEKDAY(A6,2)),""))</f>
      </c>
      <c r="F6" s="24">
        <f>IF(A6="","",IFERROR(INDEX('00_Parametres'!$D$7:$D$13,WEEKDAY(A6,2)),""))</f>
      </c>
      <c r="G6" s="24">
        <f>IF(A6="","",IFERROR(INDEX('00_Parametres'!$E$7:$E$13,WEEKDAY(A6,2)),0))</f>
      </c>
      <c r="H6" s="11">
        <v>0.3020833333333333</v>
      </c>
      <c r="I6" s="11">
        <v>0.7569444444444445</v>
      </c>
      <c r="J6" s="11" t="s">
        <v>69</v>
      </c>
      <c r="K6" s="11" t="s">
        <v>69</v>
      </c>
      <c r="L6" s="12">
        <f>IF(OR(A6="",H6=""),"",IF(H6&lt;E6,IF(OR(J6="Oui",'00_Parametres'!$B$28="Oui"),H6,E6),H6))</f>
      </c>
      <c r="M6" s="12">
        <f>IF(OR(A6="",I6=""),"",IF(I6&gt;F6,IF(OR(K6="Oui",'00_Parametres'!$B$29="Oui"),I6,F6),I6))</f>
      </c>
      <c r="N6" s="25">
        <f>IF(OR(A6="",H6="",E6=""),0,MAX(0,ROUND((H6-E6)*1440,0)))</f>
      </c>
      <c r="O6" s="25">
        <f>IF(OR(A6="",I6="",F6=""),0,MAX(0,ROUND((F6-I6)*1440,0)))</f>
      </c>
      <c r="P6" s="12">
        <f>IF(OR(L6="",M6=""),0,MAX(0,ROUND((M6-L6)*24-G6,2)))</f>
      </c>
      <c r="Q6" s="12">
        <f>IF(P6=0,0,MIN(P6,'00_Parametres'!$B$23))</f>
      </c>
      <c r="R6" s="12">
        <f>IF(P6=0,0,MAX(0,P6-'00_Parametres'!$B$23))</f>
      </c>
      <c r="S6" s="10" t="s">
        <v>103</v>
      </c>
      <c r="T6" s="10"/>
      <c r="U6" s="10" t="s">
        <v>239</v>
      </c>
    </row>
    <row r="7" spans="1:21" x14ac:dyDescent="0.25">
      <c r="A7" s="18">
        <v>46258</v>
      </c>
      <c r="B7" s="18" t="s">
        <v>164</v>
      </c>
      <c r="C7" s="9">
        <f>IF(B7="","",IFERROR(VLOOKUP(B7,'01_Employes'!$A$6:$Q$30,4,FALSE),"⚠ ID inconnu"))</f>
      </c>
      <c r="D7" s="9">
        <f>IF(A7="","",TEXT(A7,"dddd"))</f>
      </c>
      <c r="E7" s="24">
        <f>IF(A7="","",IFERROR(INDEX('00_Parametres'!$C$7:$C$13,WEEKDAY(A7,2)),""))</f>
      </c>
      <c r="F7" s="24">
        <f>IF(A7="","",IFERROR(INDEX('00_Parametres'!$D$7:$D$13,WEEKDAY(A7,2)),""))</f>
      </c>
      <c r="G7" s="24">
        <f>IF(A7="","",IFERROR(INDEX('00_Parametres'!$E$7:$E$13,WEEKDAY(A7,2)),0))</f>
      </c>
      <c r="H7" s="11">
        <v>0.3125</v>
      </c>
      <c r="I7" s="11">
        <v>0.7916666666666666</v>
      </c>
      <c r="J7" s="11" t="s">
        <v>69</v>
      </c>
      <c r="K7" s="11" t="s">
        <v>62</v>
      </c>
      <c r="L7" s="12">
        <f>IF(OR(A7="",H7=""),"",IF(H7&lt;E7,IF(OR(J7="Oui",'00_Parametres'!$B$28="Oui"),H7,E7),H7))</f>
      </c>
      <c r="M7" s="12">
        <f>IF(OR(A7="",I7=""),"",IF(I7&gt;F7,IF(OR(K7="Oui",'00_Parametres'!$B$29="Oui"),I7,F7),I7))</f>
      </c>
      <c r="N7" s="25">
        <f>IF(OR(A7="",H7="",E7=""),0,MAX(0,ROUND((H7-E7)*1440,0)))</f>
      </c>
      <c r="O7" s="25">
        <f>IF(OR(A7="",I7="",F7=""),0,MAX(0,ROUND((F7-I7)*1440,0)))</f>
      </c>
      <c r="P7" s="12">
        <f>IF(OR(L7="",M7=""),0,MAX(0,ROUND((M7-L7)*24-G7,2)))</f>
      </c>
      <c r="Q7" s="12">
        <f>IF(P7=0,0,MIN(P7,'00_Parametres'!$B$23))</f>
      </c>
      <c r="R7" s="12">
        <f>IF(P7=0,0,MAX(0,P7-'00_Parametres'!$B$23))</f>
      </c>
      <c r="S7" s="10" t="s">
        <v>113</v>
      </c>
      <c r="T7" s="10">
        <v>5000</v>
      </c>
      <c r="U7" s="10" t="s">
        <v>240</v>
      </c>
    </row>
    <row r="8" spans="1:21" x14ac:dyDescent="0.25">
      <c r="A8" s="18">
        <v>46258</v>
      </c>
      <c r="B8" s="18" t="s">
        <v>168</v>
      </c>
      <c r="C8" s="9">
        <f>IF(B8="","",IFERROR(VLOOKUP(B8,'01_Employes'!$A$6:$Q$30,4,FALSE),"⚠ ID inconnu"))</f>
      </c>
      <c r="D8" s="9">
        <f>IF(A8="","",TEXT(A8,"dddd"))</f>
      </c>
      <c r="E8" s="24">
        <f>IF(A8="","",IFERROR(INDEX('00_Parametres'!$C$7:$C$13,WEEKDAY(A8,2)),""))</f>
      </c>
      <c r="F8" s="24">
        <f>IF(A8="","",IFERROR(INDEX('00_Parametres'!$D$7:$D$13,WEEKDAY(A8,2)),""))</f>
      </c>
      <c r="G8" s="24">
        <f>IF(A8="","",IFERROR(INDEX('00_Parametres'!$E$7:$E$13,WEEKDAY(A8,2)),0))</f>
      </c>
      <c r="H8" s="11">
        <v>0.3333333333333333</v>
      </c>
      <c r="I8" s="11">
        <v>0.7291666666666666</v>
      </c>
      <c r="J8" s="11" t="s">
        <v>69</v>
      </c>
      <c r="K8" s="11" t="s">
        <v>69</v>
      </c>
      <c r="L8" s="12">
        <f>IF(OR(A8="",H8=""),"",IF(H8&lt;E8,IF(OR(J8="Oui",'00_Parametres'!$B$28="Oui"),H8,E8),H8))</f>
      </c>
      <c r="M8" s="12">
        <f>IF(OR(A8="",I8=""),"",IF(I8&gt;F8,IF(OR(K8="Oui",'00_Parametres'!$B$29="Oui"),I8,F8),I8))</f>
      </c>
      <c r="N8" s="25">
        <f>IF(OR(A8="",H8="",E8=""),0,MAX(0,ROUND((H8-E8)*1440,0)))</f>
      </c>
      <c r="O8" s="25">
        <f>IF(OR(A8="",I8="",F8=""),0,MAX(0,ROUND((F8-I8)*1440,0)))</f>
      </c>
      <c r="P8" s="12">
        <f>IF(OR(L8="",M8=""),0,MAX(0,ROUND((M8-L8)*24-G8,2)))</f>
      </c>
      <c r="Q8" s="12">
        <f>IF(P8=0,0,MIN(P8,'00_Parametres'!$B$23))</f>
      </c>
      <c r="R8" s="12">
        <f>IF(P8=0,0,MAX(0,P8-'00_Parametres'!$B$23))</f>
      </c>
      <c r="S8" s="10" t="s">
        <v>108</v>
      </c>
      <c r="T8" s="10"/>
      <c r="U8" s="10" t="s">
        <v>241</v>
      </c>
    </row>
    <row r="9" spans="1:21" x14ac:dyDescent="0.25">
      <c r="A9" s="18">
        <v>46258</v>
      </c>
      <c r="B9" s="18" t="s">
        <v>172</v>
      </c>
      <c r="C9" s="9">
        <f>IF(B9="","",IFERROR(VLOOKUP(B9,'01_Employes'!$A$6:$Q$30,4,FALSE),"⚠ ID inconnu"))</f>
      </c>
      <c r="D9" s="9">
        <f>IF(A9="","",TEXT(A9,"dddd"))</f>
      </c>
      <c r="E9" s="24">
        <f>IF(A9="","",IFERROR(INDEX('00_Parametres'!$C$7:$C$13,WEEKDAY(A9,2)),""))</f>
      </c>
      <c r="F9" s="24">
        <f>IF(A9="","",IFERROR(INDEX('00_Parametres'!$D$7:$D$13,WEEKDAY(A9,2)),""))</f>
      </c>
      <c r="G9" s="24">
        <f>IF(A9="","",IFERROR(INDEX('00_Parametres'!$E$7:$E$13,WEEKDAY(A9,2)),0))</f>
      </c>
      <c r="H9" s="11">
        <v>0.3229166666666667</v>
      </c>
      <c r="I9" s="11">
        <v>0.75</v>
      </c>
      <c r="J9" s="11" t="s">
        <v>69</v>
      </c>
      <c r="K9" s="11" t="s">
        <v>69</v>
      </c>
      <c r="L9" s="12">
        <f>IF(OR(A9="",H9=""),"",IF(H9&lt;E9,IF(OR(J9="Oui",'00_Parametres'!$B$28="Oui"),H9,E9),H9))</f>
      </c>
      <c r="M9" s="12">
        <f>IF(OR(A9="",I9=""),"",IF(I9&gt;F9,IF(OR(K9="Oui",'00_Parametres'!$B$29="Oui"),I9,F9),I9))</f>
      </c>
      <c r="N9" s="25">
        <f>IF(OR(A9="",H9="",E9=""),0,MAX(0,ROUND((H9-E9)*1440,0)))</f>
      </c>
      <c r="O9" s="25">
        <f>IF(OR(A9="",I9="",F9=""),0,MAX(0,ROUND((F9-I9)*1440,0)))</f>
      </c>
      <c r="P9" s="12">
        <f>IF(OR(L9="",M9=""),0,MAX(0,ROUND((M9-L9)*24-G9,2)))</f>
      </c>
      <c r="Q9" s="12">
        <f>IF(P9=0,0,MIN(P9,'00_Parametres'!$B$23))</f>
      </c>
      <c r="R9" s="12">
        <f>IF(P9=0,0,MAX(0,P9-'00_Parametres'!$B$23))</f>
      </c>
      <c r="S9" s="10" t="s">
        <v>108</v>
      </c>
      <c r="T9" s="10"/>
      <c r="U9" s="10" t="s">
        <v>242</v>
      </c>
    </row>
    <row r="10" spans="1:21" x14ac:dyDescent="0.25">
      <c r="A10" s="18">
        <v>46258</v>
      </c>
      <c r="B10" s="18" t="s">
        <v>176</v>
      </c>
      <c r="C10" s="9">
        <f>IF(B10="","",IFERROR(VLOOKUP(B10,'01_Employes'!$A$6:$Q$30,4,FALSE),"⚠ ID inconnu"))</f>
      </c>
      <c r="D10" s="9">
        <f>IF(A10="","",TEXT(A10,"dddd"))</f>
      </c>
      <c r="E10" s="24">
        <f>IF(A10="","",IFERROR(INDEX('00_Parametres'!$C$7:$C$13,WEEKDAY(A10,2)),""))</f>
      </c>
      <c r="F10" s="24">
        <f>IF(A10="","",IFERROR(INDEX('00_Parametres'!$D$7:$D$13,WEEKDAY(A10,2)),""))</f>
      </c>
      <c r="G10" s="24">
        <f>IF(A10="","",IFERROR(INDEX('00_Parametres'!$E$7:$E$13,WEEKDAY(A10,2)),0))</f>
      </c>
      <c r="H10" s="11">
        <v>0.3125</v>
      </c>
      <c r="I10" s="11">
        <v>0.5</v>
      </c>
      <c r="J10" s="11" t="s">
        <v>69</v>
      </c>
      <c r="K10" s="11" t="s">
        <v>69</v>
      </c>
      <c r="L10" s="12">
        <f>IF(OR(A10="",H10=""),"",IF(H10&lt;E10,IF(OR(J10="Oui",'00_Parametres'!$B$28="Oui"),H10,E10),H10))</f>
      </c>
      <c r="M10" s="12">
        <f>IF(OR(A10="",I10=""),"",IF(I10&gt;F10,IF(OR(K10="Oui",'00_Parametres'!$B$29="Oui"),I10,F10),I10))</f>
      </c>
      <c r="N10" s="25">
        <f>IF(OR(A10="",H10="",E10=""),0,MAX(0,ROUND((H10-E10)*1440,0)))</f>
      </c>
      <c r="O10" s="25">
        <f>IF(OR(A10="",I10="",F10=""),0,MAX(0,ROUND((F10-I10)*1440,0)))</f>
      </c>
      <c r="P10" s="12">
        <f>IF(OR(L10="",M10=""),0,MAX(0,ROUND((M10-L10)*24-G10,2)))</f>
      </c>
      <c r="Q10" s="12">
        <f>IF(P10=0,0,MIN(P10,'00_Parametres'!$B$23))</f>
      </c>
      <c r="R10" s="12">
        <f>IF(P10=0,0,MAX(0,P10-'00_Parametres'!$B$23))</f>
      </c>
      <c r="S10" s="10" t="s">
        <v>118</v>
      </c>
      <c r="T10" s="10">
        <v>2500</v>
      </c>
      <c r="U10" s="10" t="s">
        <v>243</v>
      </c>
    </row>
    <row r="11" spans="1:21" x14ac:dyDescent="0.25">
      <c r="A11" s="18">
        <v>46258</v>
      </c>
      <c r="B11" s="18" t="s">
        <v>180</v>
      </c>
      <c r="C11" s="9">
        <f>IF(B11="","",IFERROR(VLOOKUP(B11,'01_Employes'!$A$6:$Q$30,4,FALSE),"⚠ ID inconnu"))</f>
      </c>
      <c r="D11" s="9">
        <f>IF(A11="","",TEXT(A11,"dddd"))</f>
      </c>
      <c r="E11" s="24">
        <f>IF(A11="","",IFERROR(INDEX('00_Parametres'!$C$7:$C$13,WEEKDAY(A11,2)),""))</f>
      </c>
      <c r="F11" s="24">
        <f>IF(A11="","",IFERROR(INDEX('00_Parametres'!$D$7:$D$13,WEEKDAY(A11,2)),""))</f>
      </c>
      <c r="G11" s="24">
        <f>IF(A11="","",IFERROR(INDEX('00_Parametres'!$E$7:$E$13,WEEKDAY(A11,2)),0))</f>
      </c>
      <c r="H11" s="11">
        <v>0.3125</v>
      </c>
      <c r="I11" s="11">
        <v>0.7916666666666666</v>
      </c>
      <c r="J11" s="11" t="s">
        <v>69</v>
      </c>
      <c r="K11" s="11" t="s">
        <v>69</v>
      </c>
      <c r="L11" s="12">
        <f>IF(OR(A11="",H11=""),"",IF(H11&lt;E11,IF(OR(J11="Oui",'00_Parametres'!$B$28="Oui"),H11,E11),H11))</f>
      </c>
      <c r="M11" s="12">
        <f>IF(OR(A11="",I11=""),"",IF(I11&gt;F11,IF(OR(K11="Oui",'00_Parametres'!$B$29="Oui"),I11,F11),I11))</f>
      </c>
      <c r="N11" s="25">
        <f>IF(OR(A11="",H11="",E11=""),0,MAX(0,ROUND((H11-E11)*1440,0)))</f>
      </c>
      <c r="O11" s="25">
        <f>IF(OR(A11="",I11="",F11=""),0,MAX(0,ROUND((F11-I11)*1440,0)))</f>
      </c>
      <c r="P11" s="12">
        <f>IF(OR(L11="",M11=""),0,MAX(0,ROUND((M11-L11)*24-G11,2)))</f>
      </c>
      <c r="Q11" s="12">
        <f>IF(P11=0,0,MIN(P11,'00_Parametres'!$B$23))</f>
      </c>
      <c r="R11" s="12">
        <f>IF(P11=0,0,MAX(0,P11-'00_Parametres'!$B$23))</f>
      </c>
      <c r="S11" s="10"/>
      <c r="T11" s="10"/>
      <c r="U11" s="10"/>
    </row>
    <row r="12" spans="1:21" x14ac:dyDescent="0.25">
      <c r="A12" s="18">
        <v>46258</v>
      </c>
      <c r="B12" s="18" t="s">
        <v>184</v>
      </c>
      <c r="C12" s="9">
        <f>IF(B12="","",IFERROR(VLOOKUP(B12,'01_Employes'!$A$6:$Q$30,4,FALSE),"⚠ ID inconnu"))</f>
      </c>
      <c r="D12" s="9">
        <f>IF(A12="","",TEXT(A12,"dddd"))</f>
      </c>
      <c r="E12" s="24">
        <f>IF(A12="","",IFERROR(INDEX('00_Parametres'!$C$7:$C$13,WEEKDAY(A12,2)),""))</f>
      </c>
      <c r="F12" s="24">
        <f>IF(A12="","",IFERROR(INDEX('00_Parametres'!$D$7:$D$13,WEEKDAY(A12,2)),""))</f>
      </c>
      <c r="G12" s="24">
        <f>IF(A12="","",IFERROR(INDEX('00_Parametres'!$E$7:$E$13,WEEKDAY(A12,2)),0))</f>
      </c>
      <c r="H12" s="11">
        <v>0.625</v>
      </c>
      <c r="I12" s="11">
        <v>0.7083333333333334</v>
      </c>
      <c r="J12" s="11" t="s">
        <v>69</v>
      </c>
      <c r="K12" s="11" t="s">
        <v>69</v>
      </c>
      <c r="L12" s="12">
        <f>IF(OR(A12="",H12=""),"",IF(H12&lt;E12,IF(OR(J12="Oui",'00_Parametres'!$B$28="Oui"),H12,E12),H12))</f>
      </c>
      <c r="M12" s="12">
        <f>IF(OR(A12="",I12=""),"",IF(I12&gt;F12,IF(OR(K12="Oui",'00_Parametres'!$B$29="Oui"),I12,F12),I12))</f>
      </c>
      <c r="N12" s="25">
        <f>IF(OR(A12="",H12="",E12=""),0,MAX(0,ROUND((H12-E12)*1440,0)))</f>
      </c>
      <c r="O12" s="25">
        <f>IF(OR(A12="",I12="",F12=""),0,MAX(0,ROUND((F12-I12)*1440,0)))</f>
      </c>
      <c r="P12" s="12">
        <f>IF(OR(L12="",M12=""),0,MAX(0,ROUND((M12-L12)*24-G12,2)))</f>
      </c>
      <c r="Q12" s="12">
        <f>IF(P12=0,0,MIN(P12,'00_Parametres'!$B$23))</f>
      </c>
      <c r="R12" s="12">
        <f>IF(P12=0,0,MAX(0,P12-'00_Parametres'!$B$23))</f>
      </c>
      <c r="S12" s="10"/>
      <c r="T12" s="10"/>
      <c r="U12" s="10"/>
    </row>
    <row r="13" spans="1:21" x14ac:dyDescent="0.25">
      <c r="A13" s="18">
        <v>46258</v>
      </c>
      <c r="B13" s="18" t="s">
        <v>189</v>
      </c>
      <c r="C13" s="9">
        <f>IF(B13="","",IFERROR(VLOOKUP(B13,'01_Employes'!$A$6:$Q$30,4,FALSE),"⚠ ID inconnu"))</f>
      </c>
      <c r="D13" s="9">
        <f>IF(A13="","",TEXT(A13,"dddd"))</f>
      </c>
      <c r="E13" s="24">
        <f>IF(A13="","",IFERROR(INDEX('00_Parametres'!$C$7:$C$13,WEEKDAY(A13,2)),""))</f>
      </c>
      <c r="F13" s="24">
        <f>IF(A13="","",IFERROR(INDEX('00_Parametres'!$D$7:$D$13,WEEKDAY(A13,2)),""))</f>
      </c>
      <c r="G13" s="24">
        <f>IF(A13="","",IFERROR(INDEX('00_Parametres'!$E$7:$E$13,WEEKDAY(A13,2)),0))</f>
      </c>
      <c r="H13" s="11"/>
      <c r="I13" s="11"/>
      <c r="J13" s="11" t="s">
        <v>69</v>
      </c>
      <c r="K13" s="11" t="s">
        <v>69</v>
      </c>
      <c r="L13" s="12">
        <f>IF(OR(A13="",H13=""),"",IF(H13&lt;E13,IF(OR(J13="Oui",'00_Parametres'!$B$28="Oui"),H13,E13),H13))</f>
      </c>
      <c r="M13" s="12">
        <f>IF(OR(A13="",I13=""),"",IF(I13&gt;F13,IF(OR(K13="Oui",'00_Parametres'!$B$29="Oui"),I13,F13),I13))</f>
      </c>
      <c r="N13" s="25">
        <f>IF(OR(A13="",H13="",E13=""),0,MAX(0,ROUND((H13-E13)*1440,0)))</f>
      </c>
      <c r="O13" s="25">
        <f>IF(OR(A13="",I13="",F13=""),0,MAX(0,ROUND((F13-I13)*1440,0)))</f>
      </c>
      <c r="P13" s="12">
        <f>IF(OR(L13="",M13=""),0,MAX(0,ROUND((M13-L13)*24-G13,2)))</f>
      </c>
      <c r="Q13" s="12">
        <f>IF(P13=0,0,MIN(P13,'00_Parametres'!$B$23))</f>
      </c>
      <c r="R13" s="12">
        <f>IF(P13=0,0,MAX(0,P13-'00_Parametres'!$B$23))</f>
      </c>
      <c r="S13" s="10"/>
      <c r="T13" s="10"/>
      <c r="U13" s="10"/>
    </row>
    <row r="14" spans="1:21" x14ac:dyDescent="0.25">
      <c r="A14" s="18">
        <v>46258</v>
      </c>
      <c r="B14" s="18" t="s">
        <v>193</v>
      </c>
      <c r="C14" s="9">
        <f>IF(B14="","",IFERROR(VLOOKUP(B14,'01_Employes'!$A$6:$Q$30,4,FALSE),"⚠ ID inconnu"))</f>
      </c>
      <c r="D14" s="9">
        <f>IF(A14="","",TEXT(A14,"dddd"))</f>
      </c>
      <c r="E14" s="24">
        <f>IF(A14="","",IFERROR(INDEX('00_Parametres'!$C$7:$C$13,WEEKDAY(A14,2)),""))</f>
      </c>
      <c r="F14" s="24">
        <f>IF(A14="","",IFERROR(INDEX('00_Parametres'!$D$7:$D$13,WEEKDAY(A14,2)),""))</f>
      </c>
      <c r="G14" s="24">
        <f>IF(A14="","",IFERROR(INDEX('00_Parametres'!$E$7:$E$13,WEEKDAY(A14,2)),0))</f>
      </c>
      <c r="H14" s="11"/>
      <c r="I14" s="11"/>
      <c r="J14" s="11" t="s">
        <v>69</v>
      </c>
      <c r="K14" s="11" t="s">
        <v>69</v>
      </c>
      <c r="L14" s="12">
        <f>IF(OR(A14="",H14=""),"",IF(H14&lt;E14,IF(OR(J14="Oui",'00_Parametres'!$B$28="Oui"),H14,E14),H14))</f>
      </c>
      <c r="M14" s="12">
        <f>IF(OR(A14="",I14=""),"",IF(I14&gt;F14,IF(OR(K14="Oui",'00_Parametres'!$B$29="Oui"),I14,F14),I14))</f>
      </c>
      <c r="N14" s="25">
        <f>IF(OR(A14="",H14="",E14=""),0,MAX(0,ROUND((H14-E14)*1440,0)))</f>
      </c>
      <c r="O14" s="25">
        <f>IF(OR(A14="",I14="",F14=""),0,MAX(0,ROUND((F14-I14)*1440,0)))</f>
      </c>
      <c r="P14" s="12">
        <f>IF(OR(L14="",M14=""),0,MAX(0,ROUND((M14-L14)*24-G14,2)))</f>
      </c>
      <c r="Q14" s="12">
        <f>IF(P14=0,0,MIN(P14,'00_Parametres'!$B$23))</f>
      </c>
      <c r="R14" s="12">
        <f>IF(P14=0,0,MAX(0,P14-'00_Parametres'!$B$23))</f>
      </c>
      <c r="S14" s="10"/>
      <c r="T14" s="10"/>
      <c r="U14" s="10"/>
    </row>
    <row r="15" spans="1:21" x14ac:dyDescent="0.25">
      <c r="A15" s="18">
        <v>46258</v>
      </c>
      <c r="B15" s="18" t="s">
        <v>197</v>
      </c>
      <c r="C15" s="9">
        <f>IF(B15="","",IFERROR(VLOOKUP(B15,'01_Employes'!$A$6:$Q$30,4,FALSE),"⚠ ID inconnu"))</f>
      </c>
      <c r="D15" s="9">
        <f>IF(A15="","",TEXT(A15,"dddd"))</f>
      </c>
      <c r="E15" s="24">
        <f>IF(A15="","",IFERROR(INDEX('00_Parametres'!$C$7:$C$13,WEEKDAY(A15,2)),""))</f>
      </c>
      <c r="F15" s="24">
        <f>IF(A15="","",IFERROR(INDEX('00_Parametres'!$D$7:$D$13,WEEKDAY(A15,2)),""))</f>
      </c>
      <c r="G15" s="24">
        <f>IF(A15="","",IFERROR(INDEX('00_Parametres'!$E$7:$E$13,WEEKDAY(A15,2)),0))</f>
      </c>
      <c r="H15" s="11"/>
      <c r="I15" s="11"/>
      <c r="J15" s="11" t="s">
        <v>69</v>
      </c>
      <c r="K15" s="11" t="s">
        <v>69</v>
      </c>
      <c r="L15" s="12">
        <f>IF(OR(A15="",H15=""),"",IF(H15&lt;E15,IF(OR(J15="Oui",'00_Parametres'!$B$28="Oui"),H15,E15),H15))</f>
      </c>
      <c r="M15" s="12">
        <f>IF(OR(A15="",I15=""),"",IF(I15&gt;F15,IF(OR(K15="Oui",'00_Parametres'!$B$29="Oui"),I15,F15),I15))</f>
      </c>
      <c r="N15" s="25">
        <f>IF(OR(A15="",H15="",E15=""),0,MAX(0,ROUND((H15-E15)*1440,0)))</f>
      </c>
      <c r="O15" s="25">
        <f>IF(OR(A15="",I15="",F15=""),0,MAX(0,ROUND((F15-I15)*1440,0)))</f>
      </c>
      <c r="P15" s="12">
        <f>IF(OR(L15="",M15=""),0,MAX(0,ROUND((M15-L15)*24-G15,2)))</f>
      </c>
      <c r="Q15" s="12">
        <f>IF(P15=0,0,MIN(P15,'00_Parametres'!$B$23))</f>
      </c>
      <c r="R15" s="12">
        <f>IF(P15=0,0,MAX(0,P15-'00_Parametres'!$B$23))</f>
      </c>
      <c r="S15" s="10"/>
      <c r="T15" s="10"/>
      <c r="U15" s="10"/>
    </row>
    <row r="16" spans="1:21" x14ac:dyDescent="0.25">
      <c r="A16" s="18">
        <v>46258</v>
      </c>
      <c r="B16" s="18" t="s">
        <v>201</v>
      </c>
      <c r="C16" s="9">
        <f>IF(B16="","",IFERROR(VLOOKUP(B16,'01_Employes'!$A$6:$Q$30,4,FALSE),"⚠ ID inconnu"))</f>
      </c>
      <c r="D16" s="9">
        <f>IF(A16="","",TEXT(A16,"dddd"))</f>
      </c>
      <c r="E16" s="24">
        <f>IF(A16="","",IFERROR(INDEX('00_Parametres'!$C$7:$C$13,WEEKDAY(A16,2)),""))</f>
      </c>
      <c r="F16" s="24">
        <f>IF(A16="","",IFERROR(INDEX('00_Parametres'!$D$7:$D$13,WEEKDAY(A16,2)),""))</f>
      </c>
      <c r="G16" s="24">
        <f>IF(A16="","",IFERROR(INDEX('00_Parametres'!$E$7:$E$13,WEEKDAY(A16,2)),0))</f>
      </c>
      <c r="H16" s="11"/>
      <c r="I16" s="11"/>
      <c r="J16" s="11" t="s">
        <v>69</v>
      </c>
      <c r="K16" s="11" t="s">
        <v>69</v>
      </c>
      <c r="L16" s="12">
        <f>IF(OR(A16="",H16=""),"",IF(H16&lt;E16,IF(OR(J16="Oui",'00_Parametres'!$B$28="Oui"),H16,E16),H16))</f>
      </c>
      <c r="M16" s="12">
        <f>IF(OR(A16="",I16=""),"",IF(I16&gt;F16,IF(OR(K16="Oui",'00_Parametres'!$B$29="Oui"),I16,F16),I16))</f>
      </c>
      <c r="N16" s="25">
        <f>IF(OR(A16="",H16="",E16=""),0,MAX(0,ROUND((H16-E16)*1440,0)))</f>
      </c>
      <c r="O16" s="25">
        <f>IF(OR(A16="",I16="",F16=""),0,MAX(0,ROUND((F16-I16)*1440,0)))</f>
      </c>
      <c r="P16" s="12">
        <f>IF(OR(L16="",M16=""),0,MAX(0,ROUND((M16-L16)*24-G16,2)))</f>
      </c>
      <c r="Q16" s="12">
        <f>IF(P16=0,0,MIN(P16,'00_Parametres'!$B$23))</f>
      </c>
      <c r="R16" s="12">
        <f>IF(P16=0,0,MAX(0,P16-'00_Parametres'!$B$23))</f>
      </c>
      <c r="S16" s="10"/>
      <c r="T16" s="10"/>
      <c r="U16" s="10"/>
    </row>
    <row r="17" spans="1:21" x14ac:dyDescent="0.25">
      <c r="A17" s="18">
        <v>46258</v>
      </c>
      <c r="B17" s="18" t="s">
        <v>205</v>
      </c>
      <c r="C17" s="9">
        <f>IF(B17="","",IFERROR(VLOOKUP(B17,'01_Employes'!$A$6:$Q$30,4,FALSE),"⚠ ID inconnu"))</f>
      </c>
      <c r="D17" s="9">
        <f>IF(A17="","",TEXT(A17,"dddd"))</f>
      </c>
      <c r="E17" s="24">
        <f>IF(A17="","",IFERROR(INDEX('00_Parametres'!$C$7:$C$13,WEEKDAY(A17,2)),""))</f>
      </c>
      <c r="F17" s="24">
        <f>IF(A17="","",IFERROR(INDEX('00_Parametres'!$D$7:$D$13,WEEKDAY(A17,2)),""))</f>
      </c>
      <c r="G17" s="24">
        <f>IF(A17="","",IFERROR(INDEX('00_Parametres'!$E$7:$E$13,WEEKDAY(A17,2)),0))</f>
      </c>
      <c r="H17" s="11"/>
      <c r="I17" s="11"/>
      <c r="J17" s="11" t="s">
        <v>69</v>
      </c>
      <c r="K17" s="11" t="s">
        <v>69</v>
      </c>
      <c r="L17" s="12">
        <f>IF(OR(A17="",H17=""),"",IF(H17&lt;E17,IF(OR(J17="Oui",'00_Parametres'!$B$28="Oui"),H17,E17),H17))</f>
      </c>
      <c r="M17" s="12">
        <f>IF(OR(A17="",I17=""),"",IF(I17&gt;F17,IF(OR(K17="Oui",'00_Parametres'!$B$29="Oui"),I17,F17),I17))</f>
      </c>
      <c r="N17" s="25">
        <f>IF(OR(A17="",H17="",E17=""),0,MAX(0,ROUND((H17-E17)*1440,0)))</f>
      </c>
      <c r="O17" s="25">
        <f>IF(OR(A17="",I17="",F17=""),0,MAX(0,ROUND((F17-I17)*1440,0)))</f>
      </c>
      <c r="P17" s="12">
        <f>IF(OR(L17="",M17=""),0,MAX(0,ROUND((M17-L17)*24-G17,2)))</f>
      </c>
      <c r="Q17" s="12">
        <f>IF(P17=0,0,MIN(P17,'00_Parametres'!$B$23))</f>
      </c>
      <c r="R17" s="12">
        <f>IF(P17=0,0,MAX(0,P17-'00_Parametres'!$B$23))</f>
      </c>
      <c r="S17" s="10"/>
      <c r="T17" s="10"/>
      <c r="U17" s="10"/>
    </row>
    <row r="18" spans="1:21" x14ac:dyDescent="0.25">
      <c r="A18" s="18">
        <v>46258</v>
      </c>
      <c r="B18" s="18" t="s">
        <v>209</v>
      </c>
      <c r="C18" s="9">
        <f>IF(B18="","",IFERROR(VLOOKUP(B18,'01_Employes'!$A$6:$Q$30,4,FALSE),"⚠ ID inconnu"))</f>
      </c>
      <c r="D18" s="9">
        <f>IF(A18="","",TEXT(A18,"dddd"))</f>
      </c>
      <c r="E18" s="24">
        <f>IF(A18="","",IFERROR(INDEX('00_Parametres'!$C$7:$C$13,WEEKDAY(A18,2)),""))</f>
      </c>
      <c r="F18" s="24">
        <f>IF(A18="","",IFERROR(INDEX('00_Parametres'!$D$7:$D$13,WEEKDAY(A18,2)),""))</f>
      </c>
      <c r="G18" s="24">
        <f>IF(A18="","",IFERROR(INDEX('00_Parametres'!$E$7:$E$13,WEEKDAY(A18,2)),0))</f>
      </c>
      <c r="H18" s="11"/>
      <c r="I18" s="11"/>
      <c r="J18" s="11" t="s">
        <v>69</v>
      </c>
      <c r="K18" s="11" t="s">
        <v>69</v>
      </c>
      <c r="L18" s="12">
        <f>IF(OR(A18="",H18=""),"",IF(H18&lt;E18,IF(OR(J18="Oui",'00_Parametres'!$B$28="Oui"),H18,E18),H18))</f>
      </c>
      <c r="M18" s="12">
        <f>IF(OR(A18="",I18=""),"",IF(I18&gt;F18,IF(OR(K18="Oui",'00_Parametres'!$B$29="Oui"),I18,F18),I18))</f>
      </c>
      <c r="N18" s="25">
        <f>IF(OR(A18="",H18="",E18=""),0,MAX(0,ROUND((H18-E18)*1440,0)))</f>
      </c>
      <c r="O18" s="25">
        <f>IF(OR(A18="",I18="",F18=""),0,MAX(0,ROUND((F18-I18)*1440,0)))</f>
      </c>
      <c r="P18" s="12">
        <f>IF(OR(L18="",M18=""),0,MAX(0,ROUND((M18-L18)*24-G18,2)))</f>
      </c>
      <c r="Q18" s="12">
        <f>IF(P18=0,0,MIN(P18,'00_Parametres'!$B$23))</f>
      </c>
      <c r="R18" s="12">
        <f>IF(P18=0,0,MAX(0,P18-'00_Parametres'!$B$23))</f>
      </c>
      <c r="S18" s="10"/>
      <c r="T18" s="10"/>
      <c r="U18" s="10"/>
    </row>
    <row r="19" spans="1:21" x14ac:dyDescent="0.25">
      <c r="A19" s="18">
        <v>46259</v>
      </c>
      <c r="B19" s="18" t="s">
        <v>160</v>
      </c>
      <c r="C19" s="9">
        <f>IF(B19="","",IFERROR(VLOOKUP(B19,'01_Employes'!$A$6:$Q$30,4,FALSE),"⚠ ID inconnu"))</f>
      </c>
      <c r="D19" s="9">
        <f>IF(A19="","",TEXT(A19,"dddd"))</f>
      </c>
      <c r="E19" s="24">
        <f>IF(A19="","",IFERROR(INDEX('00_Parametres'!$C$7:$C$13,WEEKDAY(A19,2)),""))</f>
      </c>
      <c r="F19" s="24">
        <f>IF(A19="","",IFERROR(INDEX('00_Parametres'!$D$7:$D$13,WEEKDAY(A19,2)),""))</f>
      </c>
      <c r="G19" s="24">
        <f>IF(A19="","",IFERROR(INDEX('00_Parametres'!$E$7:$E$13,WEEKDAY(A19,2)),0))</f>
      </c>
      <c r="H19" s="11">
        <v>0.40277777777777773</v>
      </c>
      <c r="I19" s="11">
        <v>0.8333333333333334</v>
      </c>
      <c r="J19" s="11" t="s">
        <v>69</v>
      </c>
      <c r="K19" s="11" t="s">
        <v>69</v>
      </c>
      <c r="L19" s="12">
        <f>IF(OR(A19="",H19=""),"",IF(H19&lt;E19,IF(OR(J19="Oui",'00_Parametres'!$B$28="Oui"),H19,E19),H19))</f>
      </c>
      <c r="M19" s="12">
        <f>IF(OR(A19="",I19=""),"",IF(I19&gt;F19,IF(OR(K19="Oui",'00_Parametres'!$B$29="Oui"),I19,F19),I19))</f>
      </c>
      <c r="N19" s="25">
        <f>IF(OR(A19="",H19="",E19=""),0,MAX(0,ROUND((H19-E19)*1440,0)))</f>
      </c>
      <c r="O19" s="25">
        <f>IF(OR(A19="",I19="",F19=""),0,MAX(0,ROUND((F19-I19)*1440,0)))</f>
      </c>
      <c r="P19" s="12">
        <f>IF(OR(L19="",M19=""),0,MAX(0,ROUND((M19-L19)*24-G19,2)))</f>
      </c>
      <c r="Q19" s="12">
        <f>IF(P19=0,0,MIN(P19,'00_Parametres'!$B$23))</f>
      </c>
      <c r="R19" s="12">
        <f>IF(P19=0,0,MAX(0,P19-'00_Parametres'!$B$23))</f>
      </c>
      <c r="S19" s="10"/>
      <c r="T19" s="10"/>
      <c r="U19" s="10"/>
    </row>
    <row r="20" spans="1:21" x14ac:dyDescent="0.25">
      <c r="A20" s="18">
        <v>46259</v>
      </c>
      <c r="B20" s="18" t="s">
        <v>164</v>
      </c>
      <c r="C20" s="9">
        <f>IF(B20="","",IFERROR(VLOOKUP(B20,'01_Employes'!$A$6:$Q$30,4,FALSE),"⚠ ID inconnu"))</f>
      </c>
      <c r="D20" s="9">
        <f>IF(A20="","",TEXT(A20,"dddd"))</f>
      </c>
      <c r="E20" s="24">
        <f>IF(A20="","",IFERROR(INDEX('00_Parametres'!$C$7:$C$13,WEEKDAY(A20,2)),""))</f>
      </c>
      <c r="F20" s="24">
        <f>IF(A20="","",IFERROR(INDEX('00_Parametres'!$D$7:$D$13,WEEKDAY(A20,2)),""))</f>
      </c>
      <c r="G20" s="24">
        <f>IF(A20="","",IFERROR(INDEX('00_Parametres'!$E$7:$E$13,WEEKDAY(A20,2)),0))</f>
      </c>
      <c r="H20" s="11">
        <v>0.4791666666666667</v>
      </c>
      <c r="I20" s="11">
        <v>0.75</v>
      </c>
      <c r="J20" s="11" t="s">
        <v>69</v>
      </c>
      <c r="K20" s="11" t="s">
        <v>69</v>
      </c>
      <c r="L20" s="12">
        <f>IF(OR(A20="",H20=""),"",IF(H20&lt;E20,IF(OR(J20="Oui",'00_Parametres'!$B$28="Oui"),H20,E20),H20))</f>
      </c>
      <c r="M20" s="12">
        <f>IF(OR(A20="",I20=""),"",IF(I20&gt;F20,IF(OR(K20="Oui",'00_Parametres'!$B$29="Oui"),I20,F20),I20))</f>
      </c>
      <c r="N20" s="25">
        <f>IF(OR(A20="",H20="",E20=""),0,MAX(0,ROUND((H20-E20)*1440,0)))</f>
      </c>
      <c r="O20" s="25">
        <f>IF(OR(A20="",I20="",F20=""),0,MAX(0,ROUND((F20-I20)*1440,0)))</f>
      </c>
      <c r="P20" s="12">
        <f>IF(OR(L20="",M20=""),0,MAX(0,ROUND((M20-L20)*24-G20,2)))</f>
      </c>
      <c r="Q20" s="12">
        <f>IF(P20=0,0,MIN(P20,'00_Parametres'!$B$23))</f>
      </c>
      <c r="R20" s="12">
        <f>IF(P20=0,0,MAX(0,P20-'00_Parametres'!$B$23))</f>
      </c>
      <c r="S20" s="10"/>
      <c r="T20" s="10"/>
      <c r="U20" s="10"/>
    </row>
    <row r="21" spans="1:21" x14ac:dyDescent="0.25">
      <c r="A21" s="18">
        <v>46259</v>
      </c>
      <c r="B21" s="18" t="s">
        <v>168</v>
      </c>
      <c r="C21" s="9">
        <f>IF(B21="","",IFERROR(VLOOKUP(B21,'01_Employes'!$A$6:$Q$30,4,FALSE),"⚠ ID inconnu"))</f>
      </c>
      <c r="D21" s="9">
        <f>IF(A21="","",TEXT(A21,"dddd"))</f>
      </c>
      <c r="E21" s="24">
        <f>IF(A21="","",IFERROR(INDEX('00_Parametres'!$C$7:$C$13,WEEKDAY(A21,2)),""))</f>
      </c>
      <c r="F21" s="24">
        <f>IF(A21="","",IFERROR(INDEX('00_Parametres'!$D$7:$D$13,WEEKDAY(A21,2)),""))</f>
      </c>
      <c r="G21" s="24">
        <f>IF(A21="","",IFERROR(INDEX('00_Parametres'!$E$7:$E$13,WEEKDAY(A21,2)),0))</f>
      </c>
      <c r="H21" s="11">
        <v>0.375</v>
      </c>
      <c r="I21" s="11">
        <v>0.8541666666666666</v>
      </c>
      <c r="J21" s="11" t="s">
        <v>69</v>
      </c>
      <c r="K21" s="11" t="s">
        <v>69</v>
      </c>
      <c r="L21" s="12">
        <f>IF(OR(A21="",H21=""),"",IF(H21&lt;E21,IF(OR(J21="Oui",'00_Parametres'!$B$28="Oui"),H21,E21),H21))</f>
      </c>
      <c r="M21" s="12">
        <f>IF(OR(A21="",I21=""),"",IF(I21&gt;F21,IF(OR(K21="Oui",'00_Parametres'!$B$29="Oui"),I21,F21),I21))</f>
      </c>
      <c r="N21" s="25">
        <f>IF(OR(A21="",H21="",E21=""),0,MAX(0,ROUND((H21-E21)*1440,0)))</f>
      </c>
      <c r="O21" s="25">
        <f>IF(OR(A21="",I21="",F21=""),0,MAX(0,ROUND((F21-I21)*1440,0)))</f>
      </c>
      <c r="P21" s="12">
        <f>IF(OR(L21="",M21=""),0,MAX(0,ROUND((M21-L21)*24-G21,2)))</f>
      </c>
      <c r="Q21" s="12">
        <f>IF(P21=0,0,MIN(P21,'00_Parametres'!$B$23))</f>
      </c>
      <c r="R21" s="12">
        <f>IF(P21=0,0,MAX(0,P21-'00_Parametres'!$B$23))</f>
      </c>
      <c r="S21" s="10"/>
      <c r="T21" s="10"/>
      <c r="U21" s="10"/>
    </row>
    <row r="22" spans="1:21" x14ac:dyDescent="0.25">
      <c r="A22" s="18">
        <v>46259</v>
      </c>
      <c r="B22" s="18" t="s">
        <v>172</v>
      </c>
      <c r="C22" s="9">
        <f>IF(B22="","",IFERROR(VLOOKUP(B22,'01_Employes'!$A$6:$Q$30,4,FALSE),"⚠ ID inconnu"))</f>
      </c>
      <c r="D22" s="9">
        <f>IF(A22="","",TEXT(A22,"dddd"))</f>
      </c>
      <c r="E22" s="24">
        <f>IF(A22="","",IFERROR(INDEX('00_Parametres'!$C$7:$C$13,WEEKDAY(A22,2)),""))</f>
      </c>
      <c r="F22" s="24">
        <f>IF(A22="","",IFERROR(INDEX('00_Parametres'!$D$7:$D$13,WEEKDAY(A22,2)),""))</f>
      </c>
      <c r="G22" s="24">
        <f>IF(A22="","",IFERROR(INDEX('00_Parametres'!$E$7:$E$13,WEEKDAY(A22,2)),0))</f>
      </c>
      <c r="H22" s="11">
        <v>0.3354166666666667</v>
      </c>
      <c r="I22" s="11">
        <v>0.7916666666666666</v>
      </c>
      <c r="J22" s="11" t="s">
        <v>69</v>
      </c>
      <c r="K22" s="11" t="s">
        <v>69</v>
      </c>
      <c r="L22" s="12">
        <f>IF(OR(A22="",H22=""),"",IF(H22&lt;E22,IF(OR(J22="Oui",'00_Parametres'!$B$28="Oui"),H22,E22),H22))</f>
      </c>
      <c r="M22" s="12">
        <f>IF(OR(A22="",I22=""),"",IF(I22&gt;F22,IF(OR(K22="Oui",'00_Parametres'!$B$29="Oui"),I22,F22),I22))</f>
      </c>
      <c r="N22" s="25">
        <f>IF(OR(A22="",H22="",E22=""),0,MAX(0,ROUND((H22-E22)*1440,0)))</f>
      </c>
      <c r="O22" s="25">
        <f>IF(OR(A22="",I22="",F22=""),0,MAX(0,ROUND((F22-I22)*1440,0)))</f>
      </c>
      <c r="P22" s="12">
        <f>IF(OR(L22="",M22=""),0,MAX(0,ROUND((M22-L22)*24-G22,2)))</f>
      </c>
      <c r="Q22" s="12">
        <f>IF(P22=0,0,MIN(P22,'00_Parametres'!$B$23))</f>
      </c>
      <c r="R22" s="12">
        <f>IF(P22=0,0,MAX(0,P22-'00_Parametres'!$B$23))</f>
      </c>
      <c r="S22" s="10"/>
      <c r="T22" s="10"/>
      <c r="U22" s="10"/>
    </row>
    <row r="23" spans="1:21" x14ac:dyDescent="0.25">
      <c r="A23" s="18">
        <v>46259</v>
      </c>
      <c r="B23" s="18" t="s">
        <v>176</v>
      </c>
      <c r="C23" s="9">
        <f>IF(B23="","",IFERROR(VLOOKUP(B23,'01_Employes'!$A$6:$Q$30,4,FALSE),"⚠ ID inconnu"))</f>
      </c>
      <c r="D23" s="9">
        <f>IF(A23="","",TEXT(A23,"dddd"))</f>
      </c>
      <c r="E23" s="24">
        <f>IF(A23="","",IFERROR(INDEX('00_Parametres'!$C$7:$C$13,WEEKDAY(A23,2)),""))</f>
      </c>
      <c r="F23" s="24">
        <f>IF(A23="","",IFERROR(INDEX('00_Parametres'!$D$7:$D$13,WEEKDAY(A23,2)),""))</f>
      </c>
      <c r="G23" s="24">
        <f>IF(A23="","",IFERROR(INDEX('00_Parametres'!$E$7:$E$13,WEEKDAY(A23,2)),0))</f>
      </c>
      <c r="H23" s="11">
        <v>0.3333333333333333</v>
      </c>
      <c r="I23" s="11">
        <v>0.7916666666666666</v>
      </c>
      <c r="J23" s="11" t="s">
        <v>69</v>
      </c>
      <c r="K23" s="11" t="s">
        <v>69</v>
      </c>
      <c r="L23" s="12">
        <f>IF(OR(A23="",H23=""),"",IF(H23&lt;E23,IF(OR(J23="Oui",'00_Parametres'!$B$28="Oui"),H23,E23),H23))</f>
      </c>
      <c r="M23" s="12">
        <f>IF(OR(A23="",I23=""),"",IF(I23&gt;F23,IF(OR(K23="Oui",'00_Parametres'!$B$29="Oui"),I23,F23),I23))</f>
      </c>
      <c r="N23" s="25">
        <f>IF(OR(A23="",H23="",E23=""),0,MAX(0,ROUND((H23-E23)*1440,0)))</f>
      </c>
      <c r="O23" s="25">
        <f>IF(OR(A23="",I23="",F23=""),0,MAX(0,ROUND((F23-I23)*1440,0)))</f>
      </c>
      <c r="P23" s="12">
        <f>IF(OR(L23="",M23=""),0,MAX(0,ROUND((M23-L23)*24-G23,2)))</f>
      </c>
      <c r="Q23" s="12">
        <f>IF(P23=0,0,MIN(P23,'00_Parametres'!$B$23))</f>
      </c>
      <c r="R23" s="12">
        <f>IF(P23=0,0,MAX(0,P23-'00_Parametres'!$B$23))</f>
      </c>
      <c r="S23" s="10"/>
      <c r="T23" s="10"/>
      <c r="U23" s="10"/>
    </row>
    <row r="24" spans="1:21" x14ac:dyDescent="0.25">
      <c r="A24" s="18">
        <v>46259</v>
      </c>
      <c r="B24" s="18" t="s">
        <v>180</v>
      </c>
      <c r="C24" s="9">
        <f>IF(B24="","",IFERROR(VLOOKUP(B24,'01_Employes'!$A$6:$Q$30,4,FALSE),"⚠ ID inconnu"))</f>
      </c>
      <c r="D24" s="9">
        <f>IF(A24="","",TEXT(A24,"dddd"))</f>
      </c>
      <c r="E24" s="24">
        <f>IF(A24="","",IFERROR(INDEX('00_Parametres'!$C$7:$C$13,WEEKDAY(A24,2)),""))</f>
      </c>
      <c r="F24" s="24">
        <f>IF(A24="","",IFERROR(INDEX('00_Parametres'!$D$7:$D$13,WEEKDAY(A24,2)),""))</f>
      </c>
      <c r="G24" s="24">
        <f>IF(A24="","",IFERROR(INDEX('00_Parametres'!$E$7:$E$13,WEEKDAY(A24,2)),0))</f>
      </c>
      <c r="H24" s="11">
        <v>0.34791666666666665</v>
      </c>
      <c r="I24" s="11">
        <v>0.75</v>
      </c>
      <c r="J24" s="11" t="s">
        <v>69</v>
      </c>
      <c r="K24" s="11" t="s">
        <v>69</v>
      </c>
      <c r="L24" s="12">
        <f>IF(OR(A24="",H24=""),"",IF(H24&lt;E24,IF(OR(J24="Oui",'00_Parametres'!$B$28="Oui"),H24,E24),H24))</f>
      </c>
      <c r="M24" s="12">
        <f>IF(OR(A24="",I24=""),"",IF(I24&gt;F24,IF(OR(K24="Oui",'00_Parametres'!$B$29="Oui"),I24,F24),I24))</f>
      </c>
      <c r="N24" s="25">
        <f>IF(OR(A24="",H24="",E24=""),0,MAX(0,ROUND((H24-E24)*1440,0)))</f>
      </c>
      <c r="O24" s="25">
        <f>IF(OR(A24="",I24="",F24=""),0,MAX(0,ROUND((F24-I24)*1440,0)))</f>
      </c>
      <c r="P24" s="12">
        <f>IF(OR(L24="",M24=""),0,MAX(0,ROUND((M24-L24)*24-G24,2)))</f>
      </c>
      <c r="Q24" s="12">
        <f>IF(P24=0,0,MIN(P24,'00_Parametres'!$B$23))</f>
      </c>
      <c r="R24" s="12">
        <f>IF(P24=0,0,MAX(0,P24-'00_Parametres'!$B$23))</f>
      </c>
      <c r="S24" s="10"/>
      <c r="T24" s="10"/>
      <c r="U24" s="10"/>
    </row>
    <row r="25" spans="1:21" x14ac:dyDescent="0.25">
      <c r="A25" s="18">
        <v>46259</v>
      </c>
      <c r="B25" s="18" t="s">
        <v>184</v>
      </c>
      <c r="C25" s="9">
        <f>IF(B25="","",IFERROR(VLOOKUP(B25,'01_Employes'!$A$6:$Q$30,4,FALSE),"⚠ ID inconnu"))</f>
      </c>
      <c r="D25" s="9">
        <f>IF(A25="","",TEXT(A25,"dddd"))</f>
      </c>
      <c r="E25" s="24">
        <f>IF(A25="","",IFERROR(INDEX('00_Parametres'!$C$7:$C$13,WEEKDAY(A25,2)),""))</f>
      </c>
      <c r="F25" s="24">
        <f>IF(A25="","",IFERROR(INDEX('00_Parametres'!$D$7:$D$13,WEEKDAY(A25,2)),""))</f>
      </c>
      <c r="G25" s="24">
        <f>IF(A25="","",IFERROR(INDEX('00_Parametres'!$E$7:$E$13,WEEKDAY(A25,2)),0))</f>
      </c>
      <c r="H25" s="11">
        <v>0.35694444444444445</v>
      </c>
      <c r="I25" s="11">
        <v>0.7916666666666666</v>
      </c>
      <c r="J25" s="11" t="s">
        <v>69</v>
      </c>
      <c r="K25" s="11" t="s">
        <v>69</v>
      </c>
      <c r="L25" s="12">
        <f>IF(OR(A25="",H25=""),"",IF(H25&lt;E25,IF(OR(J25="Oui",'00_Parametres'!$B$28="Oui"),H25,E25),H25))</f>
      </c>
      <c r="M25" s="12">
        <f>IF(OR(A25="",I25=""),"",IF(I25&gt;F25,IF(OR(K25="Oui",'00_Parametres'!$B$29="Oui"),I25,F25),I25))</f>
      </c>
      <c r="N25" s="25">
        <f>IF(OR(A25="",H25="",E25=""),0,MAX(0,ROUND((H25-E25)*1440,0)))</f>
      </c>
      <c r="O25" s="25">
        <f>IF(OR(A25="",I25="",F25=""),0,MAX(0,ROUND((F25-I25)*1440,0)))</f>
      </c>
      <c r="P25" s="12">
        <f>IF(OR(L25="",M25=""),0,MAX(0,ROUND((M25-L25)*24-G25,2)))</f>
      </c>
      <c r="Q25" s="12">
        <f>IF(P25=0,0,MIN(P25,'00_Parametres'!$B$23))</f>
      </c>
      <c r="R25" s="12">
        <f>IF(P25=0,0,MAX(0,P25-'00_Parametres'!$B$23))</f>
      </c>
      <c r="S25" s="10"/>
      <c r="T25" s="10"/>
      <c r="U25" s="10"/>
    </row>
    <row r="26" spans="1:21" x14ac:dyDescent="0.25">
      <c r="A26" s="18">
        <v>46259</v>
      </c>
      <c r="B26" s="18" t="s">
        <v>189</v>
      </c>
      <c r="C26" s="9">
        <f>IF(B26="","",IFERROR(VLOOKUP(B26,'01_Employes'!$A$6:$Q$30,4,FALSE),"⚠ ID inconnu"))</f>
      </c>
      <c r="D26" s="9">
        <f>IF(A26="","",TEXT(A26,"dddd"))</f>
      </c>
      <c r="E26" s="24">
        <f>IF(A26="","",IFERROR(INDEX('00_Parametres'!$C$7:$C$13,WEEKDAY(A26,2)),""))</f>
      </c>
      <c r="F26" s="24">
        <f>IF(A26="","",IFERROR(INDEX('00_Parametres'!$D$7:$D$13,WEEKDAY(A26,2)),""))</f>
      </c>
      <c r="G26" s="24">
        <f>IF(A26="","",IFERROR(INDEX('00_Parametres'!$E$7:$E$13,WEEKDAY(A26,2)),0))</f>
      </c>
      <c r="H26" s="11">
        <v>0.3194444444444445</v>
      </c>
      <c r="I26" s="11">
        <v>0.7916666666666666</v>
      </c>
      <c r="J26" s="11" t="s">
        <v>69</v>
      </c>
      <c r="K26" s="11" t="s">
        <v>69</v>
      </c>
      <c r="L26" s="12">
        <f>IF(OR(A26="",H26=""),"",IF(H26&lt;E26,IF(OR(J26="Oui",'00_Parametres'!$B$28="Oui"),H26,E26),H26))</f>
      </c>
      <c r="M26" s="12">
        <f>IF(OR(A26="",I26=""),"",IF(I26&gt;F26,IF(OR(K26="Oui",'00_Parametres'!$B$29="Oui"),I26,F26),I26))</f>
      </c>
      <c r="N26" s="25">
        <f>IF(OR(A26="",H26="",E26=""),0,MAX(0,ROUND((H26-E26)*1440,0)))</f>
      </c>
      <c r="O26" s="25">
        <f>IF(OR(A26="",I26="",F26=""),0,MAX(0,ROUND((F26-I26)*1440,0)))</f>
      </c>
      <c r="P26" s="12">
        <f>IF(OR(L26="",M26=""),0,MAX(0,ROUND((M26-L26)*24-G26,2)))</f>
      </c>
      <c r="Q26" s="12">
        <f>IF(P26=0,0,MIN(P26,'00_Parametres'!$B$23))</f>
      </c>
      <c r="R26" s="12">
        <f>IF(P26=0,0,MAX(0,P26-'00_Parametres'!$B$23))</f>
      </c>
      <c r="S26" s="10"/>
      <c r="T26" s="10"/>
      <c r="U26" s="10"/>
    </row>
    <row r="27" spans="1:21" x14ac:dyDescent="0.25">
      <c r="A27" s="18">
        <v>46259</v>
      </c>
      <c r="B27" s="18" t="s">
        <v>193</v>
      </c>
      <c r="C27" s="9">
        <f>IF(B27="","",IFERROR(VLOOKUP(B27,'01_Employes'!$A$6:$Q$30,4,FALSE),"⚠ ID inconnu"))</f>
      </c>
      <c r="D27" s="9">
        <f>IF(A27="","",TEXT(A27,"dddd"))</f>
      </c>
      <c r="E27" s="24">
        <f>IF(A27="","",IFERROR(INDEX('00_Parametres'!$C$7:$C$13,WEEKDAY(A27,2)),""))</f>
      </c>
      <c r="F27" s="24">
        <f>IF(A27="","",IFERROR(INDEX('00_Parametres'!$D$7:$D$13,WEEKDAY(A27,2)),""))</f>
      </c>
      <c r="G27" s="24">
        <f>IF(A27="","",IFERROR(INDEX('00_Parametres'!$E$7:$E$13,WEEKDAY(A27,2)),0))</f>
      </c>
      <c r="H27" s="11">
        <v>0.34375</v>
      </c>
      <c r="I27" s="11">
        <v>0.7916666666666666</v>
      </c>
      <c r="J27" s="11" t="s">
        <v>69</v>
      </c>
      <c r="K27" s="11" t="s">
        <v>69</v>
      </c>
      <c r="L27" s="12">
        <f>IF(OR(A27="",H27=""),"",IF(H27&lt;E27,IF(OR(J27="Oui",'00_Parametres'!$B$28="Oui"),H27,E27),H27))</f>
      </c>
      <c r="M27" s="12">
        <f>IF(OR(A27="",I27=""),"",IF(I27&gt;F27,IF(OR(K27="Oui",'00_Parametres'!$B$29="Oui"),I27,F27),I27))</f>
      </c>
      <c r="N27" s="25">
        <f>IF(OR(A27="",H27="",E27=""),0,MAX(0,ROUND((H27-E27)*1440,0)))</f>
      </c>
      <c r="O27" s="25">
        <f>IF(OR(A27="",I27="",F27=""),0,MAX(0,ROUND((F27-I27)*1440,0)))</f>
      </c>
      <c r="P27" s="12">
        <f>IF(OR(L27="",M27=""),0,MAX(0,ROUND((M27-L27)*24-G27,2)))</f>
      </c>
      <c r="Q27" s="12">
        <f>IF(P27=0,0,MIN(P27,'00_Parametres'!$B$23))</f>
      </c>
      <c r="R27" s="12">
        <f>IF(P27=0,0,MAX(0,P27-'00_Parametres'!$B$23))</f>
      </c>
      <c r="S27" s="10"/>
      <c r="T27" s="10"/>
      <c r="U27" s="10"/>
    </row>
    <row r="28" spans="1:21" x14ac:dyDescent="0.25">
      <c r="A28" s="18">
        <v>46259</v>
      </c>
      <c r="B28" s="18" t="s">
        <v>197</v>
      </c>
      <c r="C28" s="9">
        <f>IF(B28="","",IFERROR(VLOOKUP(B28,'01_Employes'!$A$6:$Q$30,4,FALSE),"⚠ ID inconnu"))</f>
      </c>
      <c r="D28" s="9">
        <f>IF(A28="","",TEXT(A28,"dddd"))</f>
      </c>
      <c r="E28" s="24">
        <f>IF(A28="","",IFERROR(INDEX('00_Parametres'!$C$7:$C$13,WEEKDAY(A28,2)),""))</f>
      </c>
      <c r="F28" s="24">
        <f>IF(A28="","",IFERROR(INDEX('00_Parametres'!$D$7:$D$13,WEEKDAY(A28,2)),""))</f>
      </c>
      <c r="G28" s="24">
        <f>IF(A28="","",IFERROR(INDEX('00_Parametres'!$E$7:$E$13,WEEKDAY(A28,2)),0))</f>
      </c>
      <c r="H28" s="11">
        <v>0.5</v>
      </c>
      <c r="I28" s="11">
        <v>0.8125</v>
      </c>
      <c r="J28" s="11" t="s">
        <v>69</v>
      </c>
      <c r="K28" s="11" t="s">
        <v>69</v>
      </c>
      <c r="L28" s="12">
        <f>IF(OR(A28="",H28=""),"",IF(H28&lt;E28,IF(OR(J28="Oui",'00_Parametres'!$B$28="Oui"),H28,E28),H28))</f>
      </c>
      <c r="M28" s="12">
        <f>IF(OR(A28="",I28=""),"",IF(I28&gt;F28,IF(OR(K28="Oui",'00_Parametres'!$B$29="Oui"),I28,F28),I28))</f>
      </c>
      <c r="N28" s="25">
        <f>IF(OR(A28="",H28="",E28=""),0,MAX(0,ROUND((H28-E28)*1440,0)))</f>
      </c>
      <c r="O28" s="25">
        <f>IF(OR(A28="",I28="",F28=""),0,MAX(0,ROUND((F28-I28)*1440,0)))</f>
      </c>
      <c r="P28" s="12">
        <f>IF(OR(L28="",M28=""),0,MAX(0,ROUND((M28-L28)*24-G28,2)))</f>
      </c>
      <c r="Q28" s="12">
        <f>IF(P28=0,0,MIN(P28,'00_Parametres'!$B$23))</f>
      </c>
      <c r="R28" s="12">
        <f>IF(P28=0,0,MAX(0,P28-'00_Parametres'!$B$23))</f>
      </c>
      <c r="S28" s="10"/>
      <c r="T28" s="10"/>
      <c r="U28" s="10"/>
    </row>
    <row r="29" spans="1:21" x14ac:dyDescent="0.25">
      <c r="A29" s="18">
        <v>46259</v>
      </c>
      <c r="B29" s="18" t="s">
        <v>201</v>
      </c>
      <c r="C29" s="9">
        <f>IF(B29="","",IFERROR(VLOOKUP(B29,'01_Employes'!$A$6:$Q$30,4,FALSE),"⚠ ID inconnu"))</f>
      </c>
      <c r="D29" s="9">
        <f>IF(A29="","",TEXT(A29,"dddd"))</f>
      </c>
      <c r="E29" s="24">
        <f>IF(A29="","",IFERROR(INDEX('00_Parametres'!$C$7:$C$13,WEEKDAY(A29,2)),""))</f>
      </c>
      <c r="F29" s="24">
        <f>IF(A29="","",IFERROR(INDEX('00_Parametres'!$D$7:$D$13,WEEKDAY(A29,2)),""))</f>
      </c>
      <c r="G29" s="24">
        <f>IF(A29="","",IFERROR(INDEX('00_Parametres'!$E$7:$E$13,WEEKDAY(A29,2)),0))</f>
      </c>
      <c r="H29" s="11">
        <v>0.4166666666666667</v>
      </c>
      <c r="I29" s="11">
        <v>0.75</v>
      </c>
      <c r="J29" s="11" t="s">
        <v>69</v>
      </c>
      <c r="K29" s="11" t="s">
        <v>69</v>
      </c>
      <c r="L29" s="12">
        <f>IF(OR(A29="",H29=""),"",IF(H29&lt;E29,IF(OR(J29="Oui",'00_Parametres'!$B$28="Oui"),H29,E29),H29))</f>
      </c>
      <c r="M29" s="12">
        <f>IF(OR(A29="",I29=""),"",IF(I29&gt;F29,IF(OR(K29="Oui",'00_Parametres'!$B$29="Oui"),I29,F29),I29))</f>
      </c>
      <c r="N29" s="25">
        <f>IF(OR(A29="",H29="",E29=""),0,MAX(0,ROUND((H29-E29)*1440,0)))</f>
      </c>
      <c r="O29" s="25">
        <f>IF(OR(A29="",I29="",F29=""),0,MAX(0,ROUND((F29-I29)*1440,0)))</f>
      </c>
      <c r="P29" s="12">
        <f>IF(OR(L29="",M29=""),0,MAX(0,ROUND((M29-L29)*24-G29,2)))</f>
      </c>
      <c r="Q29" s="12">
        <f>IF(P29=0,0,MIN(P29,'00_Parametres'!$B$23))</f>
      </c>
      <c r="R29" s="12">
        <f>IF(P29=0,0,MAX(0,P29-'00_Parametres'!$B$23))</f>
      </c>
      <c r="S29" s="10"/>
      <c r="T29" s="10"/>
      <c r="U29" s="10"/>
    </row>
    <row r="30" spans="1:21" x14ac:dyDescent="0.25">
      <c r="A30" s="18">
        <v>46259</v>
      </c>
      <c r="B30" s="18" t="s">
        <v>205</v>
      </c>
      <c r="C30" s="9">
        <f>IF(B30="","",IFERROR(VLOOKUP(B30,'01_Employes'!$A$6:$Q$30,4,FALSE),"⚠ ID inconnu"))</f>
      </c>
      <c r="D30" s="9">
        <f>IF(A30="","",TEXT(A30,"dddd"))</f>
      </c>
      <c r="E30" s="24">
        <f>IF(A30="","",IFERROR(INDEX('00_Parametres'!$C$7:$C$13,WEEKDAY(A30,2)),""))</f>
      </c>
      <c r="F30" s="24">
        <f>IF(A30="","",IFERROR(INDEX('00_Parametres'!$D$7:$D$13,WEEKDAY(A30,2)),""))</f>
      </c>
      <c r="G30" s="24">
        <f>IF(A30="","",IFERROR(INDEX('00_Parametres'!$E$7:$E$13,WEEKDAY(A30,2)),0))</f>
      </c>
      <c r="H30" s="11">
        <v>0.3361111111111111</v>
      </c>
      <c r="I30" s="11">
        <v>0.7916666666666666</v>
      </c>
      <c r="J30" s="11" t="s">
        <v>69</v>
      </c>
      <c r="K30" s="11" t="s">
        <v>69</v>
      </c>
      <c r="L30" s="12">
        <f>IF(OR(A30="",H30=""),"",IF(H30&lt;E30,IF(OR(J30="Oui",'00_Parametres'!$B$28="Oui"),H30,E30),H30))</f>
      </c>
      <c r="M30" s="12">
        <f>IF(OR(A30="",I30=""),"",IF(I30&gt;F30,IF(OR(K30="Oui",'00_Parametres'!$B$29="Oui"),I30,F30),I30))</f>
      </c>
      <c r="N30" s="25">
        <f>IF(OR(A30="",H30="",E30=""),0,MAX(0,ROUND((H30-E30)*1440,0)))</f>
      </c>
      <c r="O30" s="25">
        <f>IF(OR(A30="",I30="",F30=""),0,MAX(0,ROUND((F30-I30)*1440,0)))</f>
      </c>
      <c r="P30" s="12">
        <f>IF(OR(L30="",M30=""),0,MAX(0,ROUND((M30-L30)*24-G30,2)))</f>
      </c>
      <c r="Q30" s="12">
        <f>IF(P30=0,0,MIN(P30,'00_Parametres'!$B$23))</f>
      </c>
      <c r="R30" s="12">
        <f>IF(P30=0,0,MAX(0,P30-'00_Parametres'!$B$23))</f>
      </c>
      <c r="S30" s="10"/>
      <c r="T30" s="10"/>
      <c r="U30" s="10"/>
    </row>
    <row r="31" spans="1:21" x14ac:dyDescent="0.25">
      <c r="A31" s="18">
        <v>46259</v>
      </c>
      <c r="B31" s="18" t="s">
        <v>209</v>
      </c>
      <c r="C31" s="9">
        <f>IF(B31="","",IFERROR(VLOOKUP(B31,'01_Employes'!$A$6:$Q$30,4,FALSE),"⚠ ID inconnu"))</f>
      </c>
      <c r="D31" s="9">
        <f>IF(A31="","",TEXT(A31,"dddd"))</f>
      </c>
      <c r="E31" s="24">
        <f>IF(A31="","",IFERROR(INDEX('00_Parametres'!$C$7:$C$13,WEEKDAY(A31,2)),""))</f>
      </c>
      <c r="F31" s="24">
        <f>IF(A31="","",IFERROR(INDEX('00_Parametres'!$D$7:$D$13,WEEKDAY(A31,2)),""))</f>
      </c>
      <c r="G31" s="24">
        <f>IF(A31="","",IFERROR(INDEX('00_Parametres'!$E$7:$E$13,WEEKDAY(A31,2)),0))</f>
      </c>
      <c r="H31" s="11">
        <v>0.3125</v>
      </c>
      <c r="I31" s="11">
        <v>0.75</v>
      </c>
      <c r="J31" s="11" t="s">
        <v>69</v>
      </c>
      <c r="K31" s="11" t="s">
        <v>69</v>
      </c>
      <c r="L31" s="12">
        <f>IF(OR(A31="",H31=""),"",IF(H31&lt;E31,IF(OR(J31="Oui",'00_Parametres'!$B$28="Oui"),H31,E31),H31))</f>
      </c>
      <c r="M31" s="12">
        <f>IF(OR(A31="",I31=""),"",IF(I31&gt;F31,IF(OR(K31="Oui",'00_Parametres'!$B$29="Oui"),I31,F31),I31))</f>
      </c>
      <c r="N31" s="25">
        <f>IF(OR(A31="",H31="",E31=""),0,MAX(0,ROUND((H31-E31)*1440,0)))</f>
      </c>
      <c r="O31" s="25">
        <f>IF(OR(A31="",I31="",F31=""),0,MAX(0,ROUND((F31-I31)*1440,0)))</f>
      </c>
      <c r="P31" s="12">
        <f>IF(OR(L31="",M31=""),0,MAX(0,ROUND((M31-L31)*24-G31,2)))</f>
      </c>
      <c r="Q31" s="12">
        <f>IF(P31=0,0,MIN(P31,'00_Parametres'!$B$23))</f>
      </c>
      <c r="R31" s="12">
        <f>IF(P31=0,0,MAX(0,P31-'00_Parametres'!$B$23))</f>
      </c>
      <c r="S31" s="10"/>
      <c r="T31" s="10"/>
      <c r="U31" s="10"/>
    </row>
    <row r="32" spans="1:21" x14ac:dyDescent="0.25">
      <c r="A32" s="18">
        <v>46259</v>
      </c>
      <c r="B32" s="18" t="s">
        <v>214</v>
      </c>
      <c r="C32" s="9">
        <f>IF(B32="","",IFERROR(VLOOKUP(B32,'01_Employes'!$A$6:$Q$30,4,FALSE),"⚠ ID inconnu"))</f>
      </c>
      <c r="D32" s="9">
        <f>IF(A32="","",TEXT(A32,"dddd"))</f>
      </c>
      <c r="E32" s="24">
        <f>IF(A32="","",IFERROR(INDEX('00_Parametres'!$C$7:$C$13,WEEKDAY(A32,2)),""))</f>
      </c>
      <c r="F32" s="24">
        <f>IF(A32="","",IFERROR(INDEX('00_Parametres'!$D$7:$D$13,WEEKDAY(A32,2)),""))</f>
      </c>
      <c r="G32" s="24">
        <f>IF(A32="","",IFERROR(INDEX('00_Parametres'!$E$7:$E$13,WEEKDAY(A32,2)),0))</f>
      </c>
      <c r="H32" s="11">
        <v>0.3333333333333333</v>
      </c>
      <c r="I32" s="11">
        <v>0.75</v>
      </c>
      <c r="J32" s="11" t="s">
        <v>69</v>
      </c>
      <c r="K32" s="11" t="s">
        <v>69</v>
      </c>
      <c r="L32" s="12">
        <f>IF(OR(A32="",H32=""),"",IF(H32&lt;E32,IF(OR(J32="Oui",'00_Parametres'!$B$28="Oui"),H32,E32),H32))</f>
      </c>
      <c r="M32" s="12">
        <f>IF(OR(A32="",I32=""),"",IF(I32&gt;F32,IF(OR(K32="Oui",'00_Parametres'!$B$29="Oui"),I32,F32),I32))</f>
      </c>
      <c r="N32" s="25">
        <f>IF(OR(A32="",H32="",E32=""),0,MAX(0,ROUND((H32-E32)*1440,0)))</f>
      </c>
      <c r="O32" s="25">
        <f>IF(OR(A32="",I32="",F32=""),0,MAX(0,ROUND((F32-I32)*1440,0)))</f>
      </c>
      <c r="P32" s="12">
        <f>IF(OR(L32="",M32=""),0,MAX(0,ROUND((M32-L32)*24-G32,2)))</f>
      </c>
      <c r="Q32" s="12">
        <f>IF(P32=0,0,MIN(P32,'00_Parametres'!$B$23))</f>
      </c>
      <c r="R32" s="12">
        <f>IF(P32=0,0,MAX(0,P32-'00_Parametres'!$B$23))</f>
      </c>
      <c r="S32" s="10"/>
      <c r="T32" s="10"/>
      <c r="U32" s="10"/>
    </row>
    <row r="33" spans="1:21" x14ac:dyDescent="0.25">
      <c r="A33" s="18">
        <v>46260</v>
      </c>
      <c r="B33" s="18" t="s">
        <v>160</v>
      </c>
      <c r="C33" s="9">
        <f>IF(B33="","",IFERROR(VLOOKUP(B33,'01_Employes'!$A$6:$Q$30,4,FALSE),"⚠ ID inconnu"))</f>
      </c>
      <c r="D33" s="9">
        <f>IF(A33="","",TEXT(A33,"dddd"))</f>
      </c>
      <c r="E33" s="24">
        <f>IF(A33="","",IFERROR(INDEX('00_Parametres'!$C$7:$C$13,WEEKDAY(A33,2)),""))</f>
      </c>
      <c r="F33" s="24">
        <f>IF(A33="","",IFERROR(INDEX('00_Parametres'!$D$7:$D$13,WEEKDAY(A33,2)),""))</f>
      </c>
      <c r="G33" s="24">
        <f>IF(A33="","",IFERROR(INDEX('00_Parametres'!$E$7:$E$13,WEEKDAY(A33,2)),0))</f>
      </c>
      <c r="H33" s="11">
        <v>0.3125</v>
      </c>
      <c r="I33" s="11"/>
      <c r="J33" s="11" t="s">
        <v>69</v>
      </c>
      <c r="K33" s="11" t="s">
        <v>69</v>
      </c>
      <c r="L33" s="12">
        <f>IF(OR(A33="",H33=""),"",IF(H33&lt;E33,IF(OR(J33="Oui",'00_Parametres'!$B$28="Oui"),H33,E33),H33))</f>
      </c>
      <c r="M33" s="12">
        <f>IF(OR(A33="",I33=""),"",IF(I33&gt;F33,IF(OR(K33="Oui",'00_Parametres'!$B$29="Oui"),I33,F33),I33))</f>
      </c>
      <c r="N33" s="25">
        <f>IF(OR(A33="",H33="",E33=""),0,MAX(0,ROUND((H33-E33)*1440,0)))</f>
      </c>
      <c r="O33" s="25">
        <f>IF(OR(A33="",I33="",F33=""),0,MAX(0,ROUND((F33-I33)*1440,0)))</f>
      </c>
      <c r="P33" s="12">
        <f>IF(OR(L33="",M33=""),0,MAX(0,ROUND((M33-L33)*24-G33,2)))</f>
      </c>
      <c r="Q33" s="12">
        <f>IF(P33=0,0,MIN(P33,'00_Parametres'!$B$23))</f>
      </c>
      <c r="R33" s="12">
        <f>IF(P33=0,0,MAX(0,P33-'00_Parametres'!$B$23))</f>
      </c>
      <c r="S33" s="10"/>
      <c r="T33" s="10"/>
      <c r="U33" s="10"/>
    </row>
    <row r="34" spans="1:21" x14ac:dyDescent="0.25">
      <c r="A34" s="18">
        <v>46260</v>
      </c>
      <c r="B34" s="18" t="s">
        <v>164</v>
      </c>
      <c r="C34" s="9">
        <f>IF(B34="","",IFERROR(VLOOKUP(B34,'01_Employes'!$A$6:$Q$30,4,FALSE),"⚠ ID inconnu"))</f>
      </c>
      <c r="D34" s="9">
        <f>IF(A34="","",TEXT(A34,"dddd"))</f>
      </c>
      <c r="E34" s="24">
        <f>IF(A34="","",IFERROR(INDEX('00_Parametres'!$C$7:$C$13,WEEKDAY(A34,2)),""))</f>
      </c>
      <c r="F34" s="24">
        <f>IF(A34="","",IFERROR(INDEX('00_Parametres'!$D$7:$D$13,WEEKDAY(A34,2)),""))</f>
      </c>
      <c r="G34" s="24">
        <f>IF(A34="","",IFERROR(INDEX('00_Parametres'!$E$7:$E$13,WEEKDAY(A34,2)),0))</f>
      </c>
      <c r="H34" s="11">
        <v>0.3680555555555556</v>
      </c>
      <c r="I34" s="11"/>
      <c r="J34" s="11" t="s">
        <v>69</v>
      </c>
      <c r="K34" s="11" t="s">
        <v>69</v>
      </c>
      <c r="L34" s="12">
        <f>IF(OR(A34="",H34=""),"",IF(H34&lt;E34,IF(OR(J34="Oui",'00_Parametres'!$B$28="Oui"),H34,E34),H34))</f>
      </c>
      <c r="M34" s="12">
        <f>IF(OR(A34="",I34=""),"",IF(I34&gt;F34,IF(OR(K34="Oui",'00_Parametres'!$B$29="Oui"),I34,F34),I34))</f>
      </c>
      <c r="N34" s="25">
        <f>IF(OR(A34="",H34="",E34=""),0,MAX(0,ROUND((H34-E34)*1440,0)))</f>
      </c>
      <c r="O34" s="25">
        <f>IF(OR(A34="",I34="",F34=""),0,MAX(0,ROUND((F34-I34)*1440,0)))</f>
      </c>
      <c r="P34" s="12">
        <f>IF(OR(L34="",M34=""),0,MAX(0,ROUND((M34-L34)*24-G34,2)))</f>
      </c>
      <c r="Q34" s="12">
        <f>IF(P34=0,0,MIN(P34,'00_Parametres'!$B$23))</f>
      </c>
      <c r="R34" s="12">
        <f>IF(P34=0,0,MAX(0,P34-'00_Parametres'!$B$23))</f>
      </c>
      <c r="S34" s="10"/>
      <c r="T34" s="10"/>
      <c r="U34" s="10"/>
    </row>
    <row r="35" spans="1:21" x14ac:dyDescent="0.25">
      <c r="A35" s="18">
        <v>46260</v>
      </c>
      <c r="B35" s="18" t="s">
        <v>168</v>
      </c>
      <c r="C35" s="9">
        <f>IF(B35="","",IFERROR(VLOOKUP(B35,'01_Employes'!$A$6:$Q$30,4,FALSE),"⚠ ID inconnu"))</f>
      </c>
      <c r="D35" s="9">
        <f>IF(A35="","",TEXT(A35,"dddd"))</f>
      </c>
      <c r="E35" s="24">
        <f>IF(A35="","",IFERROR(INDEX('00_Parametres'!$C$7:$C$13,WEEKDAY(A35,2)),""))</f>
      </c>
      <c r="F35" s="24">
        <f>IF(A35="","",IFERROR(INDEX('00_Parametres'!$D$7:$D$13,WEEKDAY(A35,2)),""))</f>
      </c>
      <c r="G35" s="24">
        <f>IF(A35="","",IFERROR(INDEX('00_Parametres'!$E$7:$E$13,WEEKDAY(A35,2)),0))</f>
      </c>
      <c r="H35" s="11">
        <v>0.3333333333333333</v>
      </c>
      <c r="I35" s="11"/>
      <c r="J35" s="11" t="s">
        <v>69</v>
      </c>
      <c r="K35" s="11" t="s">
        <v>69</v>
      </c>
      <c r="L35" s="12">
        <f>IF(OR(A35="",H35=""),"",IF(H35&lt;E35,IF(OR(J35="Oui",'00_Parametres'!$B$28="Oui"),H35,E35),H35))</f>
      </c>
      <c r="M35" s="12">
        <f>IF(OR(A35="",I35=""),"",IF(I35&gt;F35,IF(OR(K35="Oui",'00_Parametres'!$B$29="Oui"),I35,F35),I35))</f>
      </c>
      <c r="N35" s="25">
        <f>IF(OR(A35="",H35="",E35=""),0,MAX(0,ROUND((H35-E35)*1440,0)))</f>
      </c>
      <c r="O35" s="25">
        <f>IF(OR(A35="",I35="",F35=""),0,MAX(0,ROUND((F35-I35)*1440,0)))</f>
      </c>
      <c r="P35" s="12">
        <f>IF(OR(L35="",M35=""),0,MAX(0,ROUND((M35-L35)*24-G35,2)))</f>
      </c>
      <c r="Q35" s="12">
        <f>IF(P35=0,0,MIN(P35,'00_Parametres'!$B$23))</f>
      </c>
      <c r="R35" s="12">
        <f>IF(P35=0,0,MAX(0,P35-'00_Parametres'!$B$23))</f>
      </c>
      <c r="S35" s="10"/>
      <c r="T35" s="10"/>
      <c r="U35" s="10"/>
    </row>
    <row r="36" spans="1:21" x14ac:dyDescent="0.25">
      <c r="A36" s="18">
        <v>46260</v>
      </c>
      <c r="B36" s="18" t="s">
        <v>172</v>
      </c>
      <c r="C36" s="9">
        <f>IF(B36="","",IFERROR(VLOOKUP(B36,'01_Employes'!$A$6:$Q$30,4,FALSE),"⚠ ID inconnu"))</f>
      </c>
      <c r="D36" s="9">
        <f>IF(A36="","",TEXT(A36,"dddd"))</f>
      </c>
      <c r="E36" s="24">
        <f>IF(A36="","",IFERROR(INDEX('00_Parametres'!$C$7:$C$13,WEEKDAY(A36,2)),""))</f>
      </c>
      <c r="F36" s="24">
        <f>IF(A36="","",IFERROR(INDEX('00_Parametres'!$D$7:$D$13,WEEKDAY(A36,2)),""))</f>
      </c>
      <c r="G36" s="24">
        <f>IF(A36="","",IFERROR(INDEX('00_Parametres'!$E$7:$E$13,WEEKDAY(A36,2)),0))</f>
      </c>
      <c r="H36" s="11">
        <v>0.3125</v>
      </c>
      <c r="I36" s="11"/>
      <c r="J36" s="11" t="s">
        <v>69</v>
      </c>
      <c r="K36" s="11" t="s">
        <v>69</v>
      </c>
      <c r="L36" s="12">
        <f>IF(OR(A36="",H36=""),"",IF(H36&lt;E36,IF(OR(J36="Oui",'00_Parametres'!$B$28="Oui"),H36,E36),H36))</f>
      </c>
      <c r="M36" s="12">
        <f>IF(OR(A36="",I36=""),"",IF(I36&gt;F36,IF(OR(K36="Oui",'00_Parametres'!$B$29="Oui"),I36,F36),I36))</f>
      </c>
      <c r="N36" s="25">
        <f>IF(OR(A36="",H36="",E36=""),0,MAX(0,ROUND((H36-E36)*1440,0)))</f>
      </c>
      <c r="O36" s="25">
        <f>IF(OR(A36="",I36="",F36=""),0,MAX(0,ROUND((F36-I36)*1440,0)))</f>
      </c>
      <c r="P36" s="12">
        <f>IF(OR(L36="",M36=""),0,MAX(0,ROUND((M36-L36)*24-G36,2)))</f>
      </c>
      <c r="Q36" s="12">
        <f>IF(P36=0,0,MIN(P36,'00_Parametres'!$B$23))</f>
      </c>
      <c r="R36" s="12">
        <f>IF(P36=0,0,MAX(0,P36-'00_Parametres'!$B$23))</f>
      </c>
      <c r="S36" s="10"/>
      <c r="T36" s="10"/>
      <c r="U36" s="10"/>
    </row>
    <row r="37" spans="1:21" x14ac:dyDescent="0.25">
      <c r="A37" s="18">
        <v>46260</v>
      </c>
      <c r="B37" s="18" t="s">
        <v>176</v>
      </c>
      <c r="C37" s="9">
        <f>IF(B37="","",IFERROR(VLOOKUP(B37,'01_Employes'!$A$6:$Q$30,4,FALSE),"⚠ ID inconnu"))</f>
      </c>
      <c r="D37" s="9">
        <f>IF(A37="","",TEXT(A37,"dddd"))</f>
      </c>
      <c r="E37" s="24">
        <f>IF(A37="","",IFERROR(INDEX('00_Parametres'!$C$7:$C$13,WEEKDAY(A37,2)),""))</f>
      </c>
      <c r="F37" s="24">
        <f>IF(A37="","",IFERROR(INDEX('00_Parametres'!$D$7:$D$13,WEEKDAY(A37,2)),""))</f>
      </c>
      <c r="G37" s="24">
        <f>IF(A37="","",IFERROR(INDEX('00_Parametres'!$E$7:$E$13,WEEKDAY(A37,2)),0))</f>
      </c>
      <c r="H37" s="11">
        <v>0.3333333333333333</v>
      </c>
      <c r="I37" s="11"/>
      <c r="J37" s="11" t="s">
        <v>69</v>
      </c>
      <c r="K37" s="11" t="s">
        <v>69</v>
      </c>
      <c r="L37" s="12">
        <f>IF(OR(A37="",H37=""),"",IF(H37&lt;E37,IF(OR(J37="Oui",'00_Parametres'!$B$28="Oui"),H37,E37),H37))</f>
      </c>
      <c r="M37" s="12">
        <f>IF(OR(A37="",I37=""),"",IF(I37&gt;F37,IF(OR(K37="Oui",'00_Parametres'!$B$29="Oui"),I37,F37),I37))</f>
      </c>
      <c r="N37" s="25">
        <f>IF(OR(A37="",H37="",E37=""),0,MAX(0,ROUND((H37-E37)*1440,0)))</f>
      </c>
      <c r="O37" s="25">
        <f>IF(OR(A37="",I37="",F37=""),0,MAX(0,ROUND((F37-I37)*1440,0)))</f>
      </c>
      <c r="P37" s="12">
        <f>IF(OR(L37="",M37=""),0,MAX(0,ROUND((M37-L37)*24-G37,2)))</f>
      </c>
      <c r="Q37" s="12">
        <f>IF(P37=0,0,MIN(P37,'00_Parametres'!$B$23))</f>
      </c>
      <c r="R37" s="12">
        <f>IF(P37=0,0,MAX(0,P37-'00_Parametres'!$B$23))</f>
      </c>
      <c r="S37" s="10"/>
      <c r="T37" s="10"/>
      <c r="U37" s="10"/>
    </row>
    <row r="38" spans="1:21" x14ac:dyDescent="0.25">
      <c r="A38" s="18">
        <v>46260</v>
      </c>
      <c r="B38" s="18" t="s">
        <v>180</v>
      </c>
      <c r="C38" s="9">
        <f>IF(B38="","",IFERROR(VLOOKUP(B38,'01_Employes'!$A$6:$Q$30,4,FALSE),"⚠ ID inconnu"))</f>
      </c>
      <c r="D38" s="9">
        <f>IF(A38="","",TEXT(A38,"dddd"))</f>
      </c>
      <c r="E38" s="24">
        <f>IF(A38="","",IFERROR(INDEX('00_Parametres'!$C$7:$C$13,WEEKDAY(A38,2)),""))</f>
      </c>
      <c r="F38" s="24">
        <f>IF(A38="","",IFERROR(INDEX('00_Parametres'!$D$7:$D$13,WEEKDAY(A38,2)),""))</f>
      </c>
      <c r="G38" s="24">
        <f>IF(A38="","",IFERROR(INDEX('00_Parametres'!$E$7:$E$13,WEEKDAY(A38,2)),0))</f>
      </c>
      <c r="H38" s="11">
        <v>0.35555555555555557</v>
      </c>
      <c r="I38" s="11"/>
      <c r="J38" s="11" t="s">
        <v>69</v>
      </c>
      <c r="K38" s="11" t="s">
        <v>69</v>
      </c>
      <c r="L38" s="12">
        <f>IF(OR(A38="",H38=""),"",IF(H38&lt;E38,IF(OR(J38="Oui",'00_Parametres'!$B$28="Oui"),H38,E38),H38))</f>
      </c>
      <c r="M38" s="12">
        <f>IF(OR(A38="",I38=""),"",IF(I38&gt;F38,IF(OR(K38="Oui",'00_Parametres'!$B$29="Oui"),I38,F38),I38))</f>
      </c>
      <c r="N38" s="25">
        <f>IF(OR(A38="",H38="",E38=""),0,MAX(0,ROUND((H38-E38)*1440,0)))</f>
      </c>
      <c r="O38" s="25">
        <f>IF(OR(A38="",I38="",F38=""),0,MAX(0,ROUND((F38-I38)*1440,0)))</f>
      </c>
      <c r="P38" s="12">
        <f>IF(OR(L38="",M38=""),0,MAX(0,ROUND((M38-L38)*24-G38,2)))</f>
      </c>
      <c r="Q38" s="12">
        <f>IF(P38=0,0,MIN(P38,'00_Parametres'!$B$23))</f>
      </c>
      <c r="R38" s="12">
        <f>IF(P38=0,0,MAX(0,P38-'00_Parametres'!$B$23))</f>
      </c>
      <c r="S38" s="10"/>
      <c r="T38" s="10"/>
      <c r="U38" s="10"/>
    </row>
    <row r="39" spans="1:21" x14ac:dyDescent="0.25">
      <c r="A39" s="18">
        <v>46260</v>
      </c>
      <c r="B39" s="18" t="s">
        <v>184</v>
      </c>
      <c r="C39" s="9">
        <f>IF(B39="","",IFERROR(VLOOKUP(B39,'01_Employes'!$A$6:$Q$30,4,FALSE),"⚠ ID inconnu"))</f>
      </c>
      <c r="D39" s="9">
        <f>IF(A39="","",TEXT(A39,"dddd"))</f>
      </c>
      <c r="E39" s="24">
        <f>IF(A39="","",IFERROR(INDEX('00_Parametres'!$C$7:$C$13,WEEKDAY(A39,2)),""))</f>
      </c>
      <c r="F39" s="24">
        <f>IF(A39="","",IFERROR(INDEX('00_Parametres'!$D$7:$D$13,WEEKDAY(A39,2)),""))</f>
      </c>
      <c r="G39" s="24">
        <f>IF(A39="","",IFERROR(INDEX('00_Parametres'!$E$7:$E$13,WEEKDAY(A39,2)),0))</f>
      </c>
      <c r="H39" s="11">
        <v>0.36319444444444443</v>
      </c>
      <c r="I39" s="11"/>
      <c r="J39" s="11" t="s">
        <v>69</v>
      </c>
      <c r="K39" s="11" t="s">
        <v>69</v>
      </c>
      <c r="L39" s="12">
        <f>IF(OR(A39="",H39=""),"",IF(H39&lt;E39,IF(OR(J39="Oui",'00_Parametres'!$B$28="Oui"),H39,E39),H39))</f>
      </c>
      <c r="M39" s="12">
        <f>IF(OR(A39="",I39=""),"",IF(I39&gt;F39,IF(OR(K39="Oui",'00_Parametres'!$B$29="Oui"),I39,F39),I39))</f>
      </c>
      <c r="N39" s="25">
        <f>IF(OR(A39="",H39="",E39=""),0,MAX(0,ROUND((H39-E39)*1440,0)))</f>
      </c>
      <c r="O39" s="25">
        <f>IF(OR(A39="",I39="",F39=""),0,MAX(0,ROUND((F39-I39)*1440,0)))</f>
      </c>
      <c r="P39" s="12">
        <f>IF(OR(L39="",M39=""),0,MAX(0,ROUND((M39-L39)*24-G39,2)))</f>
      </c>
      <c r="Q39" s="12">
        <f>IF(P39=0,0,MIN(P39,'00_Parametres'!$B$23))</f>
      </c>
      <c r="R39" s="12">
        <f>IF(P39=0,0,MAX(0,P39-'00_Parametres'!$B$23))</f>
      </c>
      <c r="S39" s="10"/>
      <c r="T39" s="10"/>
      <c r="U39" s="10"/>
    </row>
    <row r="40" spans="1:21" x14ac:dyDescent="0.25">
      <c r="A40" s="18">
        <v>46260</v>
      </c>
      <c r="B40" s="18" t="s">
        <v>189</v>
      </c>
      <c r="C40" s="9">
        <f>IF(B40="","",IFERROR(VLOOKUP(B40,'01_Employes'!$A$6:$Q$30,4,FALSE),"⚠ ID inconnu"))</f>
      </c>
      <c r="D40" s="9">
        <f>IF(A40="","",TEXT(A40,"dddd"))</f>
      </c>
      <c r="E40" s="24">
        <f>IF(A40="","",IFERROR(INDEX('00_Parametres'!$C$7:$C$13,WEEKDAY(A40,2)),""))</f>
      </c>
      <c r="F40" s="24">
        <f>IF(A40="","",IFERROR(INDEX('00_Parametres'!$D$7:$D$13,WEEKDAY(A40,2)),""))</f>
      </c>
      <c r="G40" s="24">
        <f>IF(A40="","",IFERROR(INDEX('00_Parametres'!$E$7:$E$13,WEEKDAY(A40,2)),0))</f>
      </c>
      <c r="H40" s="11">
        <v>0.3541666666666667</v>
      </c>
      <c r="I40" s="11"/>
      <c r="J40" s="11" t="s">
        <v>69</v>
      </c>
      <c r="K40" s="11" t="s">
        <v>69</v>
      </c>
      <c r="L40" s="12">
        <f>IF(OR(A40="",H40=""),"",IF(H40&lt;E40,IF(OR(J40="Oui",'00_Parametres'!$B$28="Oui"),H40,E40),H40))</f>
      </c>
      <c r="M40" s="12">
        <f>IF(OR(A40="",I40=""),"",IF(I40&gt;F40,IF(OR(K40="Oui",'00_Parametres'!$B$29="Oui"),I40,F40),I40))</f>
      </c>
      <c r="N40" s="25">
        <f>IF(OR(A40="",H40="",E40=""),0,MAX(0,ROUND((H40-E40)*1440,0)))</f>
      </c>
      <c r="O40" s="25">
        <f>IF(OR(A40="",I40="",F40=""),0,MAX(0,ROUND((F40-I40)*1440,0)))</f>
      </c>
      <c r="P40" s="12">
        <f>IF(OR(L40="",M40=""),0,MAX(0,ROUND((M40-L40)*24-G40,2)))</f>
      </c>
      <c r="Q40" s="12">
        <f>IF(P40=0,0,MIN(P40,'00_Parametres'!$B$23))</f>
      </c>
      <c r="R40" s="12">
        <f>IF(P40=0,0,MAX(0,P40-'00_Parametres'!$B$23))</f>
      </c>
      <c r="S40" s="10"/>
      <c r="T40" s="10"/>
      <c r="U40" s="10"/>
    </row>
    <row r="41" spans="1:21" x14ac:dyDescent="0.25">
      <c r="A41" s="18">
        <v>46260</v>
      </c>
      <c r="B41" s="18" t="s">
        <v>193</v>
      </c>
      <c r="C41" s="9">
        <f>IF(B41="","",IFERROR(VLOOKUP(B41,'01_Employes'!$A$6:$Q$30,4,FALSE),"⚠ ID inconnu"))</f>
      </c>
      <c r="D41" s="9">
        <f>IF(A41="","",TEXT(A41,"dddd"))</f>
      </c>
      <c r="E41" s="24">
        <f>IF(A41="","",IFERROR(INDEX('00_Parametres'!$C$7:$C$13,WEEKDAY(A41,2)),""))</f>
      </c>
      <c r="F41" s="24">
        <f>IF(A41="","",IFERROR(INDEX('00_Parametres'!$D$7:$D$13,WEEKDAY(A41,2)),""))</f>
      </c>
      <c r="G41" s="24">
        <f>IF(A41="","",IFERROR(INDEX('00_Parametres'!$E$7:$E$13,WEEKDAY(A41,2)),0))</f>
      </c>
      <c r="H41" s="11">
        <v>0.35555555555555557</v>
      </c>
      <c r="I41" s="11"/>
      <c r="J41" s="11" t="s">
        <v>69</v>
      </c>
      <c r="K41" s="11" t="s">
        <v>69</v>
      </c>
      <c r="L41" s="12">
        <f>IF(OR(A41="",H41=""),"",IF(H41&lt;E41,IF(OR(J41="Oui",'00_Parametres'!$B$28="Oui"),H41,E41),H41))</f>
      </c>
      <c r="M41" s="12">
        <f>IF(OR(A41="",I41=""),"",IF(I41&gt;F41,IF(OR(K41="Oui",'00_Parametres'!$B$29="Oui"),I41,F41),I41))</f>
      </c>
      <c r="N41" s="25">
        <f>IF(OR(A41="",H41="",E41=""),0,MAX(0,ROUND((H41-E41)*1440,0)))</f>
      </c>
      <c r="O41" s="25">
        <f>IF(OR(A41="",I41="",F41=""),0,MAX(0,ROUND((F41-I41)*1440,0)))</f>
      </c>
      <c r="P41" s="12">
        <f>IF(OR(L41="",M41=""),0,MAX(0,ROUND((M41-L41)*24-G41,2)))</f>
      </c>
      <c r="Q41" s="12">
        <f>IF(P41=0,0,MIN(P41,'00_Parametres'!$B$23))</f>
      </c>
      <c r="R41" s="12">
        <f>IF(P41=0,0,MAX(0,P41-'00_Parametres'!$B$23))</f>
      </c>
      <c r="S41" s="10"/>
      <c r="T41" s="10"/>
      <c r="U41" s="10"/>
    </row>
    <row r="42" spans="1:21" x14ac:dyDescent="0.25">
      <c r="A42" s="18">
        <v>46260</v>
      </c>
      <c r="B42" s="18" t="s">
        <v>197</v>
      </c>
      <c r="C42" s="9">
        <f>IF(B42="","",IFERROR(VLOOKUP(B42,'01_Employes'!$A$6:$Q$30,4,FALSE),"⚠ ID inconnu"))</f>
      </c>
      <c r="D42" s="9">
        <f>IF(A42="","",TEXT(A42,"dddd"))</f>
      </c>
      <c r="E42" s="24">
        <f>IF(A42="","",IFERROR(INDEX('00_Parametres'!$C$7:$C$13,WEEKDAY(A42,2)),""))</f>
      </c>
      <c r="F42" s="24">
        <f>IF(A42="","",IFERROR(INDEX('00_Parametres'!$D$7:$D$13,WEEKDAY(A42,2)),""))</f>
      </c>
      <c r="G42" s="24">
        <f>IF(A42="","",IFERROR(INDEX('00_Parametres'!$E$7:$E$13,WEEKDAY(A42,2)),0))</f>
      </c>
      <c r="H42" s="11"/>
      <c r="I42" s="11"/>
      <c r="J42" s="11" t="s">
        <v>69</v>
      </c>
      <c r="K42" s="11" t="s">
        <v>69</v>
      </c>
      <c r="L42" s="12">
        <f>IF(OR(A42="",H42=""),"",IF(H42&lt;E42,IF(OR(J42="Oui",'00_Parametres'!$B$28="Oui"),H42,E42),H42))</f>
      </c>
      <c r="M42" s="12">
        <f>IF(OR(A42="",I42=""),"",IF(I42&gt;F42,IF(OR(K42="Oui",'00_Parametres'!$B$29="Oui"),I42,F42),I42))</f>
      </c>
      <c r="N42" s="25">
        <f>IF(OR(A42="",H42="",E42=""),0,MAX(0,ROUND((H42-E42)*1440,0)))</f>
      </c>
      <c r="O42" s="25">
        <f>IF(OR(A42="",I42="",F42=""),0,MAX(0,ROUND((F42-I42)*1440,0)))</f>
      </c>
      <c r="P42" s="12">
        <f>IF(OR(L42="",M42=""),0,MAX(0,ROUND((M42-L42)*24-G42,2)))</f>
      </c>
      <c r="Q42" s="12">
        <f>IF(P42=0,0,MIN(P42,'00_Parametres'!$B$23))</f>
      </c>
      <c r="R42" s="12">
        <f>IF(P42=0,0,MAX(0,P42-'00_Parametres'!$B$23))</f>
      </c>
      <c r="S42" s="10"/>
      <c r="T42" s="10"/>
      <c r="U42" s="10"/>
    </row>
    <row r="43" spans="1:21" x14ac:dyDescent="0.25">
      <c r="A43" s="18">
        <v>46260</v>
      </c>
      <c r="B43" s="18" t="s">
        <v>201</v>
      </c>
      <c r="C43" s="9">
        <f>IF(B43="","",IFERROR(VLOOKUP(B43,'01_Employes'!$A$6:$Q$30,4,FALSE),"⚠ ID inconnu"))</f>
      </c>
      <c r="D43" s="9">
        <f>IF(A43="","",TEXT(A43,"dddd"))</f>
      </c>
      <c r="E43" s="24">
        <f>IF(A43="","",IFERROR(INDEX('00_Parametres'!$C$7:$C$13,WEEKDAY(A43,2)),""))</f>
      </c>
      <c r="F43" s="24">
        <f>IF(A43="","",IFERROR(INDEX('00_Parametres'!$D$7:$D$13,WEEKDAY(A43,2)),""))</f>
      </c>
      <c r="G43" s="24">
        <f>IF(A43="","",IFERROR(INDEX('00_Parametres'!$E$7:$E$13,WEEKDAY(A43,2)),0))</f>
      </c>
      <c r="H43" s="11">
        <v>0.3541666666666667</v>
      </c>
      <c r="I43" s="11"/>
      <c r="J43" s="11" t="s">
        <v>69</v>
      </c>
      <c r="K43" s="11" t="s">
        <v>69</v>
      </c>
      <c r="L43" s="12">
        <f>IF(OR(A43="",H43=""),"",IF(H43&lt;E43,IF(OR(J43="Oui",'00_Parametres'!$B$28="Oui"),H43,E43),H43))</f>
      </c>
      <c r="M43" s="12">
        <f>IF(OR(A43="",I43=""),"",IF(I43&gt;F43,IF(OR(K43="Oui",'00_Parametres'!$B$29="Oui"),I43,F43),I43))</f>
      </c>
      <c r="N43" s="25">
        <f>IF(OR(A43="",H43="",E43=""),0,MAX(0,ROUND((H43-E43)*1440,0)))</f>
      </c>
      <c r="O43" s="25">
        <f>IF(OR(A43="",I43="",F43=""),0,MAX(0,ROUND((F43-I43)*1440,0)))</f>
      </c>
      <c r="P43" s="12">
        <f>IF(OR(L43="",M43=""),0,MAX(0,ROUND((M43-L43)*24-G43,2)))</f>
      </c>
      <c r="Q43" s="12">
        <f>IF(P43=0,0,MIN(P43,'00_Parametres'!$B$23))</f>
      </c>
      <c r="R43" s="12">
        <f>IF(P43=0,0,MAX(0,P43-'00_Parametres'!$B$23))</f>
      </c>
      <c r="S43" s="10"/>
      <c r="T43" s="10"/>
      <c r="U43" s="10"/>
    </row>
    <row r="44" spans="1:21" x14ac:dyDescent="0.25">
      <c r="A44" s="18">
        <v>46260</v>
      </c>
      <c r="B44" s="18" t="s">
        <v>205</v>
      </c>
      <c r="C44" s="9">
        <f>IF(B44="","",IFERROR(VLOOKUP(B44,'01_Employes'!$A$6:$Q$30,4,FALSE),"⚠ ID inconnu"))</f>
      </c>
      <c r="D44" s="9">
        <f>IF(A44="","",TEXT(A44,"dddd"))</f>
      </c>
      <c r="E44" s="24">
        <f>IF(A44="","",IFERROR(INDEX('00_Parametres'!$C$7:$C$13,WEEKDAY(A44,2)),""))</f>
      </c>
      <c r="F44" s="24">
        <f>IF(A44="","",IFERROR(INDEX('00_Parametres'!$D$7:$D$13,WEEKDAY(A44,2)),""))</f>
      </c>
      <c r="G44" s="24">
        <f>IF(A44="","",IFERROR(INDEX('00_Parametres'!$E$7:$E$13,WEEKDAY(A44,2)),0))</f>
      </c>
      <c r="H44" s="11">
        <v>0.3576388888888889</v>
      </c>
      <c r="I44" s="11"/>
      <c r="J44" s="11" t="s">
        <v>69</v>
      </c>
      <c r="K44" s="11" t="s">
        <v>69</v>
      </c>
      <c r="L44" s="12">
        <f>IF(OR(A44="",H44=""),"",IF(H44&lt;E44,IF(OR(J44="Oui",'00_Parametres'!$B$28="Oui"),H44,E44),H44))</f>
      </c>
      <c r="M44" s="12">
        <f>IF(OR(A44="",I44=""),"",IF(I44&gt;F44,IF(OR(K44="Oui",'00_Parametres'!$B$29="Oui"),I44,F44),I44))</f>
      </c>
      <c r="N44" s="25">
        <f>IF(OR(A44="",H44="",E44=""),0,MAX(0,ROUND((H44-E44)*1440,0)))</f>
      </c>
      <c r="O44" s="25">
        <f>IF(OR(A44="",I44="",F44=""),0,MAX(0,ROUND((F44-I44)*1440,0)))</f>
      </c>
      <c r="P44" s="12">
        <f>IF(OR(L44="",M44=""),0,MAX(0,ROUND((M44-L44)*24-G44,2)))</f>
      </c>
      <c r="Q44" s="12">
        <f>IF(P44=0,0,MIN(P44,'00_Parametres'!$B$23))</f>
      </c>
      <c r="R44" s="12">
        <f>IF(P44=0,0,MAX(0,P44-'00_Parametres'!$B$23))</f>
      </c>
      <c r="S44" s="10"/>
      <c r="T44" s="10"/>
      <c r="U44" s="10"/>
    </row>
    <row r="45" spans="1:21" x14ac:dyDescent="0.25">
      <c r="A45" s="18">
        <v>46260</v>
      </c>
      <c r="B45" s="18" t="s">
        <v>209</v>
      </c>
      <c r="C45" s="9">
        <f>IF(B45="","",IFERROR(VLOOKUP(B45,'01_Employes'!$A$6:$Q$30,4,FALSE),"⚠ ID inconnu"))</f>
      </c>
      <c r="D45" s="9">
        <f>IF(A45="","",TEXT(A45,"dddd"))</f>
      </c>
      <c r="E45" s="24">
        <f>IF(A45="","",IFERROR(INDEX('00_Parametres'!$C$7:$C$13,WEEKDAY(A45,2)),""))</f>
      </c>
      <c r="F45" s="24">
        <f>IF(A45="","",IFERROR(INDEX('00_Parametres'!$D$7:$D$13,WEEKDAY(A45,2)),""))</f>
      </c>
      <c r="G45" s="24">
        <f>IF(A45="","",IFERROR(INDEX('00_Parametres'!$E$7:$E$13,WEEKDAY(A45,2)),0))</f>
      </c>
      <c r="H45" s="11">
        <v>0.3076388888888889</v>
      </c>
      <c r="I45" s="11"/>
      <c r="J45" s="11" t="s">
        <v>69</v>
      </c>
      <c r="K45" s="11" t="s">
        <v>69</v>
      </c>
      <c r="L45" s="12">
        <f>IF(OR(A45="",H45=""),"",IF(H45&lt;E45,IF(OR(J45="Oui",'00_Parametres'!$B$28="Oui"),H45,E45),H45))</f>
      </c>
      <c r="M45" s="12">
        <f>IF(OR(A45="",I45=""),"",IF(I45&gt;F45,IF(OR(K45="Oui",'00_Parametres'!$B$29="Oui"),I45,F45),I45))</f>
      </c>
      <c r="N45" s="25">
        <f>IF(OR(A45="",H45="",E45=""),0,MAX(0,ROUND((H45-E45)*1440,0)))</f>
      </c>
      <c r="O45" s="25">
        <f>IF(OR(A45="",I45="",F45=""),0,MAX(0,ROUND((F45-I45)*1440,0)))</f>
      </c>
      <c r="P45" s="12">
        <f>IF(OR(L45="",M45=""),0,MAX(0,ROUND((M45-L45)*24-G45,2)))</f>
      </c>
      <c r="Q45" s="12">
        <f>IF(P45=0,0,MIN(P45,'00_Parametres'!$B$23))</f>
      </c>
      <c r="R45" s="12">
        <f>IF(P45=0,0,MAX(0,P45-'00_Parametres'!$B$23))</f>
      </c>
      <c r="S45" s="10"/>
      <c r="T45" s="10"/>
      <c r="U45" s="10"/>
    </row>
    <row r="46" spans="1:21" x14ac:dyDescent="0.25">
      <c r="A46" s="18">
        <v>46260</v>
      </c>
      <c r="B46" s="18" t="s">
        <v>214</v>
      </c>
      <c r="C46" s="9">
        <f>IF(B46="","",IFERROR(VLOOKUP(B46,'01_Employes'!$A$6:$Q$30,4,FALSE),"⚠ ID inconnu"))</f>
      </c>
      <c r="D46" s="9">
        <f>IF(A46="","",TEXT(A46,"dddd"))</f>
      </c>
      <c r="E46" s="24">
        <f>IF(A46="","",IFERROR(INDEX('00_Parametres'!$C$7:$C$13,WEEKDAY(A46,2)),""))</f>
      </c>
      <c r="F46" s="24">
        <f>IF(A46="","",IFERROR(INDEX('00_Parametres'!$D$7:$D$13,WEEKDAY(A46,2)),""))</f>
      </c>
      <c r="G46" s="24">
        <f>IF(A46="","",IFERROR(INDEX('00_Parametres'!$E$7:$E$13,WEEKDAY(A46,2)),0))</f>
      </c>
      <c r="H46" s="11">
        <v>0.26319444444444445</v>
      </c>
      <c r="I46" s="11"/>
      <c r="J46" s="11" t="s">
        <v>69</v>
      </c>
      <c r="K46" s="11" t="s">
        <v>69</v>
      </c>
      <c r="L46" s="12">
        <f>IF(OR(A46="",H46=""),"",IF(H46&lt;E46,IF(OR(J46="Oui",'00_Parametres'!$B$28="Oui"),H46,E46),H46))</f>
      </c>
      <c r="M46" s="12">
        <f>IF(OR(A46="",I46=""),"",IF(I46&gt;F46,IF(OR(K46="Oui",'00_Parametres'!$B$29="Oui"),I46,F46),I46))</f>
      </c>
      <c r="N46" s="25">
        <f>IF(OR(A46="",H46="",E46=""),0,MAX(0,ROUND((H46-E46)*1440,0)))</f>
      </c>
      <c r="O46" s="25">
        <f>IF(OR(A46="",I46="",F46=""),0,MAX(0,ROUND((F46-I46)*1440,0)))</f>
      </c>
      <c r="P46" s="12">
        <f>IF(OR(L46="",M46=""),0,MAX(0,ROUND((M46-L46)*24-G46,2)))</f>
      </c>
      <c r="Q46" s="12">
        <f>IF(P46=0,0,MIN(P46,'00_Parametres'!$B$23))</f>
      </c>
      <c r="R46" s="12">
        <f>IF(P46=0,0,MAX(0,P46-'00_Parametres'!$B$23))</f>
      </c>
      <c r="S46" s="10"/>
      <c r="T46" s="10"/>
      <c r="U46" s="10"/>
    </row>
    <row r="47" spans="1:21" x14ac:dyDescent="0.25">
      <c r="A47" s="18"/>
      <c r="B47" s="18"/>
      <c r="C47" s="9">
        <f>IF(B47="","",IFERROR(VLOOKUP(B47,'01_Employes'!$A$6:$Q$30,4,FALSE),"⚠ ID inconnu"))</f>
      </c>
      <c r="D47" s="9">
        <f>IF(A47="","",TEXT(A47,"dddd"))</f>
      </c>
      <c r="E47" s="24">
        <f>IF(A47="","",IFERROR(INDEX('00_Parametres'!$C$7:$C$13,WEEKDAY(A47,2)),""))</f>
      </c>
      <c r="F47" s="24">
        <f>IF(A47="","",IFERROR(INDEX('00_Parametres'!$D$7:$D$13,WEEKDAY(A47,2)),""))</f>
      </c>
      <c r="G47" s="24">
        <f>IF(A47="","",IFERROR(INDEX('00_Parametres'!$E$7:$E$13,WEEKDAY(A47,2)),0))</f>
      </c>
      <c r="H47" s="11"/>
      <c r="I47" s="11"/>
      <c r="J47" s="11"/>
      <c r="K47" s="11"/>
      <c r="L47" s="12">
        <f>IF(OR(A47="",H47=""),"",IF(H47&lt;E47,IF(OR(J47="Oui",'00_Parametres'!$B$28="Oui"),H47,E47),H47))</f>
      </c>
      <c r="M47" s="12">
        <f>IF(OR(A47="",I47=""),"",IF(I47&gt;F47,IF(OR(K47="Oui",'00_Parametres'!$B$29="Oui"),I47,F47),I47))</f>
      </c>
      <c r="N47" s="25">
        <f>IF(OR(A47="",H47="",E47=""),0,MAX(0,ROUND((H47-E47)*1440,0)))</f>
      </c>
      <c r="O47" s="25">
        <f>IF(OR(A47="",I47="",F47=""),0,MAX(0,ROUND((F47-I47)*1440,0)))</f>
      </c>
      <c r="P47" s="12">
        <f>IF(OR(L47="",M47=""),0,MAX(0,ROUND((M47-L47)*24-G47,2)))</f>
      </c>
      <c r="Q47" s="12">
        <f>IF(P47=0,0,MIN(P47,'00_Parametres'!$B$23))</f>
      </c>
      <c r="R47" s="12">
        <f>IF(P47=0,0,MAX(0,P47-'00_Parametres'!$B$23))</f>
      </c>
      <c r="S47" s="10"/>
      <c r="T47" s="10"/>
      <c r="U47" s="10"/>
    </row>
    <row r="48" spans="1:21" x14ac:dyDescent="0.25">
      <c r="A48" s="18"/>
      <c r="B48" s="18"/>
      <c r="C48" s="9">
        <f>IF(B48="","",IFERROR(VLOOKUP(B48,'01_Employes'!$A$6:$Q$30,4,FALSE),"⚠ ID inconnu"))</f>
      </c>
      <c r="D48" s="9">
        <f>IF(A48="","",TEXT(A48,"dddd"))</f>
      </c>
      <c r="E48" s="24">
        <f>IF(A48="","",IFERROR(INDEX('00_Parametres'!$C$7:$C$13,WEEKDAY(A48,2)),""))</f>
      </c>
      <c r="F48" s="24">
        <f>IF(A48="","",IFERROR(INDEX('00_Parametres'!$D$7:$D$13,WEEKDAY(A48,2)),""))</f>
      </c>
      <c r="G48" s="24">
        <f>IF(A48="","",IFERROR(INDEX('00_Parametres'!$E$7:$E$13,WEEKDAY(A48,2)),0))</f>
      </c>
      <c r="H48" s="11"/>
      <c r="I48" s="11"/>
      <c r="J48" s="11"/>
      <c r="K48" s="11"/>
      <c r="L48" s="12">
        <f>IF(OR(A48="",H48=""),"",IF(H48&lt;E48,IF(OR(J48="Oui",'00_Parametres'!$B$28="Oui"),H48,E48),H48))</f>
      </c>
      <c r="M48" s="12">
        <f>IF(OR(A48="",I48=""),"",IF(I48&gt;F48,IF(OR(K48="Oui",'00_Parametres'!$B$29="Oui"),I48,F48),I48))</f>
      </c>
      <c r="N48" s="25">
        <f>IF(OR(A48="",H48="",E48=""),0,MAX(0,ROUND((H48-E48)*1440,0)))</f>
      </c>
      <c r="O48" s="25">
        <f>IF(OR(A48="",I48="",F48=""),0,MAX(0,ROUND((F48-I48)*1440,0)))</f>
      </c>
      <c r="P48" s="12">
        <f>IF(OR(L48="",M48=""),0,MAX(0,ROUND((M48-L48)*24-G48,2)))</f>
      </c>
      <c r="Q48" s="12">
        <f>IF(P48=0,0,MIN(P48,'00_Parametres'!$B$23))</f>
      </c>
      <c r="R48" s="12">
        <f>IF(P48=0,0,MAX(0,P48-'00_Parametres'!$B$23))</f>
      </c>
      <c r="S48" s="10"/>
      <c r="T48" s="10"/>
      <c r="U48" s="10"/>
    </row>
    <row r="49" spans="1:21" x14ac:dyDescent="0.25">
      <c r="A49" s="18"/>
      <c r="B49" s="18"/>
      <c r="C49" s="9">
        <f>IF(B49="","",IFERROR(VLOOKUP(B49,'01_Employes'!$A$6:$Q$30,4,FALSE),"⚠ ID inconnu"))</f>
      </c>
      <c r="D49" s="9">
        <f>IF(A49="","",TEXT(A49,"dddd"))</f>
      </c>
      <c r="E49" s="24">
        <f>IF(A49="","",IFERROR(INDEX('00_Parametres'!$C$7:$C$13,WEEKDAY(A49,2)),""))</f>
      </c>
      <c r="F49" s="24">
        <f>IF(A49="","",IFERROR(INDEX('00_Parametres'!$D$7:$D$13,WEEKDAY(A49,2)),""))</f>
      </c>
      <c r="G49" s="24">
        <f>IF(A49="","",IFERROR(INDEX('00_Parametres'!$E$7:$E$13,WEEKDAY(A49,2)),0))</f>
      </c>
      <c r="H49" s="11"/>
      <c r="I49" s="11"/>
      <c r="J49" s="11"/>
      <c r="K49" s="11"/>
      <c r="L49" s="12">
        <f>IF(OR(A49="",H49=""),"",IF(H49&lt;E49,IF(OR(J49="Oui",'00_Parametres'!$B$28="Oui"),H49,E49),H49))</f>
      </c>
      <c r="M49" s="12">
        <f>IF(OR(A49="",I49=""),"",IF(I49&gt;F49,IF(OR(K49="Oui",'00_Parametres'!$B$29="Oui"),I49,F49),I49))</f>
      </c>
      <c r="N49" s="25">
        <f>IF(OR(A49="",H49="",E49=""),0,MAX(0,ROUND((H49-E49)*1440,0)))</f>
      </c>
      <c r="O49" s="25">
        <f>IF(OR(A49="",I49="",F49=""),0,MAX(0,ROUND((F49-I49)*1440,0)))</f>
      </c>
      <c r="P49" s="12">
        <f>IF(OR(L49="",M49=""),0,MAX(0,ROUND((M49-L49)*24-G49,2)))</f>
      </c>
      <c r="Q49" s="12">
        <f>IF(P49=0,0,MIN(P49,'00_Parametres'!$B$23))</f>
      </c>
      <c r="R49" s="12">
        <f>IF(P49=0,0,MAX(0,P49-'00_Parametres'!$B$23))</f>
      </c>
      <c r="S49" s="10"/>
      <c r="T49" s="10"/>
      <c r="U49" s="10"/>
    </row>
    <row r="50" spans="1:21" x14ac:dyDescent="0.25">
      <c r="A50" s="18"/>
      <c r="B50" s="18"/>
      <c r="C50" s="9">
        <f>IF(B50="","",IFERROR(VLOOKUP(B50,'01_Employes'!$A$6:$Q$30,4,FALSE),"⚠ ID inconnu"))</f>
      </c>
      <c r="D50" s="9">
        <f>IF(A50="","",TEXT(A50,"dddd"))</f>
      </c>
      <c r="E50" s="24">
        <f>IF(A50="","",IFERROR(INDEX('00_Parametres'!$C$7:$C$13,WEEKDAY(A50,2)),""))</f>
      </c>
      <c r="F50" s="24">
        <f>IF(A50="","",IFERROR(INDEX('00_Parametres'!$D$7:$D$13,WEEKDAY(A50,2)),""))</f>
      </c>
      <c r="G50" s="24">
        <f>IF(A50="","",IFERROR(INDEX('00_Parametres'!$E$7:$E$13,WEEKDAY(A50,2)),0))</f>
      </c>
      <c r="H50" s="11"/>
      <c r="I50" s="11"/>
      <c r="J50" s="11"/>
      <c r="K50" s="11"/>
      <c r="L50" s="12">
        <f>IF(OR(A50="",H50=""),"",IF(H50&lt;E50,IF(OR(J50="Oui",'00_Parametres'!$B$28="Oui"),H50,E50),H50))</f>
      </c>
      <c r="M50" s="12">
        <f>IF(OR(A50="",I50=""),"",IF(I50&gt;F50,IF(OR(K50="Oui",'00_Parametres'!$B$29="Oui"),I50,F50),I50))</f>
      </c>
      <c r="N50" s="25">
        <f>IF(OR(A50="",H50="",E50=""),0,MAX(0,ROUND((H50-E50)*1440,0)))</f>
      </c>
      <c r="O50" s="25">
        <f>IF(OR(A50="",I50="",F50=""),0,MAX(0,ROUND((F50-I50)*1440,0)))</f>
      </c>
      <c r="P50" s="12">
        <f>IF(OR(L50="",M50=""),0,MAX(0,ROUND((M50-L50)*24-G50,2)))</f>
      </c>
      <c r="Q50" s="12">
        <f>IF(P50=0,0,MIN(P50,'00_Parametres'!$B$23))</f>
      </c>
      <c r="R50" s="12">
        <f>IF(P50=0,0,MAX(0,P50-'00_Parametres'!$B$23))</f>
      </c>
      <c r="S50" s="10"/>
      <c r="T50" s="10"/>
      <c r="U50" s="10"/>
    </row>
    <row r="51" spans="1:21" x14ac:dyDescent="0.25">
      <c r="A51" s="18"/>
      <c r="B51" s="18"/>
      <c r="C51" s="9">
        <f>IF(B51="","",IFERROR(VLOOKUP(B51,'01_Employes'!$A$6:$Q$30,4,FALSE),"⚠ ID inconnu"))</f>
      </c>
      <c r="D51" s="9">
        <f>IF(A51="","",TEXT(A51,"dddd"))</f>
      </c>
      <c r="E51" s="24">
        <f>IF(A51="","",IFERROR(INDEX('00_Parametres'!$C$7:$C$13,WEEKDAY(A51,2)),""))</f>
      </c>
      <c r="F51" s="24">
        <f>IF(A51="","",IFERROR(INDEX('00_Parametres'!$D$7:$D$13,WEEKDAY(A51,2)),""))</f>
      </c>
      <c r="G51" s="24">
        <f>IF(A51="","",IFERROR(INDEX('00_Parametres'!$E$7:$E$13,WEEKDAY(A51,2)),0))</f>
      </c>
      <c r="H51" s="11"/>
      <c r="I51" s="11"/>
      <c r="J51" s="11"/>
      <c r="K51" s="11"/>
      <c r="L51" s="12">
        <f>IF(OR(A51="",H51=""),"",IF(H51&lt;E51,IF(OR(J51="Oui",'00_Parametres'!$B$28="Oui"),H51,E51),H51))</f>
      </c>
      <c r="M51" s="12">
        <f>IF(OR(A51="",I51=""),"",IF(I51&gt;F51,IF(OR(K51="Oui",'00_Parametres'!$B$29="Oui"),I51,F51),I51))</f>
      </c>
      <c r="N51" s="25">
        <f>IF(OR(A51="",H51="",E51=""),0,MAX(0,ROUND((H51-E51)*1440,0)))</f>
      </c>
      <c r="O51" s="25">
        <f>IF(OR(A51="",I51="",F51=""),0,MAX(0,ROUND((F51-I51)*1440,0)))</f>
      </c>
      <c r="P51" s="12">
        <f>IF(OR(L51="",M51=""),0,MAX(0,ROUND((M51-L51)*24-G51,2)))</f>
      </c>
      <c r="Q51" s="12">
        <f>IF(P51=0,0,MIN(P51,'00_Parametres'!$B$23))</f>
      </c>
      <c r="R51" s="12">
        <f>IF(P51=0,0,MAX(0,P51-'00_Parametres'!$B$23))</f>
      </c>
      <c r="S51" s="10"/>
      <c r="T51" s="10"/>
      <c r="U51" s="10"/>
    </row>
    <row r="52" spans="1:21" x14ac:dyDescent="0.25">
      <c r="A52" s="18"/>
      <c r="B52" s="18"/>
      <c r="C52" s="9">
        <f>IF(B52="","",IFERROR(VLOOKUP(B52,'01_Employes'!$A$6:$Q$30,4,FALSE),"⚠ ID inconnu"))</f>
      </c>
      <c r="D52" s="9">
        <f>IF(A52="","",TEXT(A52,"dddd"))</f>
      </c>
      <c r="E52" s="24">
        <f>IF(A52="","",IFERROR(INDEX('00_Parametres'!$C$7:$C$13,WEEKDAY(A52,2)),""))</f>
      </c>
      <c r="F52" s="24">
        <f>IF(A52="","",IFERROR(INDEX('00_Parametres'!$D$7:$D$13,WEEKDAY(A52,2)),""))</f>
      </c>
      <c r="G52" s="24">
        <f>IF(A52="","",IFERROR(INDEX('00_Parametres'!$E$7:$E$13,WEEKDAY(A52,2)),0))</f>
      </c>
      <c r="H52" s="11"/>
      <c r="I52" s="11"/>
      <c r="J52" s="11"/>
      <c r="K52" s="11"/>
      <c r="L52" s="12">
        <f>IF(OR(A52="",H52=""),"",IF(H52&lt;E52,IF(OR(J52="Oui",'00_Parametres'!$B$28="Oui"),H52,E52),H52))</f>
      </c>
      <c r="M52" s="12">
        <f>IF(OR(A52="",I52=""),"",IF(I52&gt;F52,IF(OR(K52="Oui",'00_Parametres'!$B$29="Oui"),I52,F52),I52))</f>
      </c>
      <c r="N52" s="25">
        <f>IF(OR(A52="",H52="",E52=""),0,MAX(0,ROUND((H52-E52)*1440,0)))</f>
      </c>
      <c r="O52" s="25">
        <f>IF(OR(A52="",I52="",F52=""),0,MAX(0,ROUND((F52-I52)*1440,0)))</f>
      </c>
      <c r="P52" s="12">
        <f>IF(OR(L52="",M52=""),0,MAX(0,ROUND((M52-L52)*24-G52,2)))</f>
      </c>
      <c r="Q52" s="12">
        <f>IF(P52=0,0,MIN(P52,'00_Parametres'!$B$23))</f>
      </c>
      <c r="R52" s="12">
        <f>IF(P52=0,0,MAX(0,P52-'00_Parametres'!$B$23))</f>
      </c>
      <c r="S52" s="10"/>
      <c r="T52" s="10"/>
      <c r="U52" s="10"/>
    </row>
    <row r="53" spans="1:21" x14ac:dyDescent="0.25">
      <c r="A53" s="18"/>
      <c r="B53" s="18"/>
      <c r="C53" s="9">
        <f>IF(B53="","",IFERROR(VLOOKUP(B53,'01_Employes'!$A$6:$Q$30,4,FALSE),"⚠ ID inconnu"))</f>
      </c>
      <c r="D53" s="9">
        <f>IF(A53="","",TEXT(A53,"dddd"))</f>
      </c>
      <c r="E53" s="24">
        <f>IF(A53="","",IFERROR(INDEX('00_Parametres'!$C$7:$C$13,WEEKDAY(A53,2)),""))</f>
      </c>
      <c r="F53" s="24">
        <f>IF(A53="","",IFERROR(INDEX('00_Parametres'!$D$7:$D$13,WEEKDAY(A53,2)),""))</f>
      </c>
      <c r="G53" s="24">
        <f>IF(A53="","",IFERROR(INDEX('00_Parametres'!$E$7:$E$13,WEEKDAY(A53,2)),0))</f>
      </c>
      <c r="H53" s="11"/>
      <c r="I53" s="11"/>
      <c r="J53" s="11"/>
      <c r="K53" s="11"/>
      <c r="L53" s="12">
        <f>IF(OR(A53="",H53=""),"",IF(H53&lt;E53,IF(OR(J53="Oui",'00_Parametres'!$B$28="Oui"),H53,E53),H53))</f>
      </c>
      <c r="M53" s="12">
        <f>IF(OR(A53="",I53=""),"",IF(I53&gt;F53,IF(OR(K53="Oui",'00_Parametres'!$B$29="Oui"),I53,F53),I53))</f>
      </c>
      <c r="N53" s="25">
        <f>IF(OR(A53="",H53="",E53=""),0,MAX(0,ROUND((H53-E53)*1440,0)))</f>
      </c>
      <c r="O53" s="25">
        <f>IF(OR(A53="",I53="",F53=""),0,MAX(0,ROUND((F53-I53)*1440,0)))</f>
      </c>
      <c r="P53" s="12">
        <f>IF(OR(L53="",M53=""),0,MAX(0,ROUND((M53-L53)*24-G53,2)))</f>
      </c>
      <c r="Q53" s="12">
        <f>IF(P53=0,0,MIN(P53,'00_Parametres'!$B$23))</f>
      </c>
      <c r="R53" s="12">
        <f>IF(P53=0,0,MAX(0,P53-'00_Parametres'!$B$23))</f>
      </c>
      <c r="S53" s="10"/>
      <c r="T53" s="10"/>
      <c r="U53" s="10"/>
    </row>
    <row r="54" spans="1:21" x14ac:dyDescent="0.25">
      <c r="A54" s="18"/>
      <c r="B54" s="18"/>
      <c r="C54" s="9">
        <f>IF(B54="","",IFERROR(VLOOKUP(B54,'01_Employes'!$A$6:$Q$30,4,FALSE),"⚠ ID inconnu"))</f>
      </c>
      <c r="D54" s="9">
        <f>IF(A54="","",TEXT(A54,"dddd"))</f>
      </c>
      <c r="E54" s="24">
        <f>IF(A54="","",IFERROR(INDEX('00_Parametres'!$C$7:$C$13,WEEKDAY(A54,2)),""))</f>
      </c>
      <c r="F54" s="24">
        <f>IF(A54="","",IFERROR(INDEX('00_Parametres'!$D$7:$D$13,WEEKDAY(A54,2)),""))</f>
      </c>
      <c r="G54" s="24">
        <f>IF(A54="","",IFERROR(INDEX('00_Parametres'!$E$7:$E$13,WEEKDAY(A54,2)),0))</f>
      </c>
      <c r="H54" s="11"/>
      <c r="I54" s="11"/>
      <c r="J54" s="11"/>
      <c r="K54" s="11"/>
      <c r="L54" s="12">
        <f>IF(OR(A54="",H54=""),"",IF(H54&lt;E54,IF(OR(J54="Oui",'00_Parametres'!$B$28="Oui"),H54,E54),H54))</f>
      </c>
      <c r="M54" s="12">
        <f>IF(OR(A54="",I54=""),"",IF(I54&gt;F54,IF(OR(K54="Oui",'00_Parametres'!$B$29="Oui"),I54,F54),I54))</f>
      </c>
      <c r="N54" s="25">
        <f>IF(OR(A54="",H54="",E54=""),0,MAX(0,ROUND((H54-E54)*1440,0)))</f>
      </c>
      <c r="O54" s="25">
        <f>IF(OR(A54="",I54="",F54=""),0,MAX(0,ROUND((F54-I54)*1440,0)))</f>
      </c>
      <c r="P54" s="12">
        <f>IF(OR(L54="",M54=""),0,MAX(0,ROUND((M54-L54)*24-G54,2)))</f>
      </c>
      <c r="Q54" s="12">
        <f>IF(P54=0,0,MIN(P54,'00_Parametres'!$B$23))</f>
      </c>
      <c r="R54" s="12">
        <f>IF(P54=0,0,MAX(0,P54-'00_Parametres'!$B$23))</f>
      </c>
      <c r="S54" s="10"/>
      <c r="T54" s="10"/>
      <c r="U54" s="10"/>
    </row>
    <row r="55" spans="1:21" x14ac:dyDescent="0.25">
      <c r="A55" s="18"/>
      <c r="B55" s="18"/>
      <c r="C55" s="9">
        <f>IF(B55="","",IFERROR(VLOOKUP(B55,'01_Employes'!$A$6:$Q$30,4,FALSE),"⚠ ID inconnu"))</f>
      </c>
      <c r="D55" s="9">
        <f>IF(A55="","",TEXT(A55,"dddd"))</f>
      </c>
      <c r="E55" s="24">
        <f>IF(A55="","",IFERROR(INDEX('00_Parametres'!$C$7:$C$13,WEEKDAY(A55,2)),""))</f>
      </c>
      <c r="F55" s="24">
        <f>IF(A55="","",IFERROR(INDEX('00_Parametres'!$D$7:$D$13,WEEKDAY(A55,2)),""))</f>
      </c>
      <c r="G55" s="24">
        <f>IF(A55="","",IFERROR(INDEX('00_Parametres'!$E$7:$E$13,WEEKDAY(A55,2)),0))</f>
      </c>
      <c r="H55" s="11"/>
      <c r="I55" s="11"/>
      <c r="J55" s="11"/>
      <c r="K55" s="11"/>
      <c r="L55" s="12">
        <f>IF(OR(A55="",H55=""),"",IF(H55&lt;E55,IF(OR(J55="Oui",'00_Parametres'!$B$28="Oui"),H55,E55),H55))</f>
      </c>
      <c r="M55" s="12">
        <f>IF(OR(A55="",I55=""),"",IF(I55&gt;F55,IF(OR(K55="Oui",'00_Parametres'!$B$29="Oui"),I55,F55),I55))</f>
      </c>
      <c r="N55" s="25">
        <f>IF(OR(A55="",H55="",E55=""),0,MAX(0,ROUND((H55-E55)*1440,0)))</f>
      </c>
      <c r="O55" s="25">
        <f>IF(OR(A55="",I55="",F55=""),0,MAX(0,ROUND((F55-I55)*1440,0)))</f>
      </c>
      <c r="P55" s="12">
        <f>IF(OR(L55="",M55=""),0,MAX(0,ROUND((M55-L55)*24-G55,2)))</f>
      </c>
      <c r="Q55" s="12">
        <f>IF(P55=0,0,MIN(P55,'00_Parametres'!$B$23))</f>
      </c>
      <c r="R55" s="12">
        <f>IF(P55=0,0,MAX(0,P55-'00_Parametres'!$B$23))</f>
      </c>
      <c r="S55" s="10"/>
      <c r="T55" s="10"/>
      <c r="U55" s="10"/>
    </row>
    <row r="56" spans="1:21" x14ac:dyDescent="0.25">
      <c r="A56" s="18"/>
      <c r="B56" s="18"/>
      <c r="C56" s="9">
        <f>IF(B56="","",IFERROR(VLOOKUP(B56,'01_Employes'!$A$6:$Q$30,4,FALSE),"⚠ ID inconnu"))</f>
      </c>
      <c r="D56" s="9">
        <f>IF(A56="","",TEXT(A56,"dddd"))</f>
      </c>
      <c r="E56" s="24">
        <f>IF(A56="","",IFERROR(INDEX('00_Parametres'!$C$7:$C$13,WEEKDAY(A56,2)),""))</f>
      </c>
      <c r="F56" s="24">
        <f>IF(A56="","",IFERROR(INDEX('00_Parametres'!$D$7:$D$13,WEEKDAY(A56,2)),""))</f>
      </c>
      <c r="G56" s="24">
        <f>IF(A56="","",IFERROR(INDEX('00_Parametres'!$E$7:$E$13,WEEKDAY(A56,2)),0))</f>
      </c>
      <c r="H56" s="11"/>
      <c r="I56" s="11"/>
      <c r="J56" s="11"/>
      <c r="K56" s="11"/>
      <c r="L56" s="12">
        <f>IF(OR(A56="",H56=""),"",IF(H56&lt;E56,IF(OR(J56="Oui",'00_Parametres'!$B$28="Oui"),H56,E56),H56))</f>
      </c>
      <c r="M56" s="12">
        <f>IF(OR(A56="",I56=""),"",IF(I56&gt;F56,IF(OR(K56="Oui",'00_Parametres'!$B$29="Oui"),I56,F56),I56))</f>
      </c>
      <c r="N56" s="25">
        <f>IF(OR(A56="",H56="",E56=""),0,MAX(0,ROUND((H56-E56)*1440,0)))</f>
      </c>
      <c r="O56" s="25">
        <f>IF(OR(A56="",I56="",F56=""),0,MAX(0,ROUND((F56-I56)*1440,0)))</f>
      </c>
      <c r="P56" s="12">
        <f>IF(OR(L56="",M56=""),0,MAX(0,ROUND((M56-L56)*24-G56,2)))</f>
      </c>
      <c r="Q56" s="12">
        <f>IF(P56=0,0,MIN(P56,'00_Parametres'!$B$23))</f>
      </c>
      <c r="R56" s="12">
        <f>IF(P56=0,0,MAX(0,P56-'00_Parametres'!$B$23))</f>
      </c>
      <c r="S56" s="10"/>
      <c r="T56" s="10"/>
      <c r="U56" s="10"/>
    </row>
    <row r="57" spans="1:21" x14ac:dyDescent="0.25">
      <c r="A57" s="18"/>
      <c r="B57" s="18"/>
      <c r="C57" s="9">
        <f>IF(B57="","",IFERROR(VLOOKUP(B57,'01_Employes'!$A$6:$Q$30,4,FALSE),"⚠ ID inconnu"))</f>
      </c>
      <c r="D57" s="9">
        <f>IF(A57="","",TEXT(A57,"dddd"))</f>
      </c>
      <c r="E57" s="24">
        <f>IF(A57="","",IFERROR(INDEX('00_Parametres'!$C$7:$C$13,WEEKDAY(A57,2)),""))</f>
      </c>
      <c r="F57" s="24">
        <f>IF(A57="","",IFERROR(INDEX('00_Parametres'!$D$7:$D$13,WEEKDAY(A57,2)),""))</f>
      </c>
      <c r="G57" s="24">
        <f>IF(A57="","",IFERROR(INDEX('00_Parametres'!$E$7:$E$13,WEEKDAY(A57,2)),0))</f>
      </c>
      <c r="H57" s="11"/>
      <c r="I57" s="11"/>
      <c r="J57" s="11"/>
      <c r="K57" s="11"/>
      <c r="L57" s="12">
        <f>IF(OR(A57="",H57=""),"",IF(H57&lt;E57,IF(OR(J57="Oui",'00_Parametres'!$B$28="Oui"),H57,E57),H57))</f>
      </c>
      <c r="M57" s="12">
        <f>IF(OR(A57="",I57=""),"",IF(I57&gt;F57,IF(OR(K57="Oui",'00_Parametres'!$B$29="Oui"),I57,F57),I57))</f>
      </c>
      <c r="N57" s="25">
        <f>IF(OR(A57="",H57="",E57=""),0,MAX(0,ROUND((H57-E57)*1440,0)))</f>
      </c>
      <c r="O57" s="25">
        <f>IF(OR(A57="",I57="",F57=""),0,MAX(0,ROUND((F57-I57)*1440,0)))</f>
      </c>
      <c r="P57" s="12">
        <f>IF(OR(L57="",M57=""),0,MAX(0,ROUND((M57-L57)*24-G57,2)))</f>
      </c>
      <c r="Q57" s="12">
        <f>IF(P57=0,0,MIN(P57,'00_Parametres'!$B$23))</f>
      </c>
      <c r="R57" s="12">
        <f>IF(P57=0,0,MAX(0,P57-'00_Parametres'!$B$23))</f>
      </c>
      <c r="S57" s="10"/>
      <c r="T57" s="10"/>
      <c r="U57" s="10"/>
    </row>
    <row r="58" spans="1:21" x14ac:dyDescent="0.25">
      <c r="A58" s="18"/>
      <c r="B58" s="18"/>
      <c r="C58" s="9">
        <f>IF(B58="","",IFERROR(VLOOKUP(B58,'01_Employes'!$A$6:$Q$30,4,FALSE),"⚠ ID inconnu"))</f>
      </c>
      <c r="D58" s="9">
        <f>IF(A58="","",TEXT(A58,"dddd"))</f>
      </c>
      <c r="E58" s="24">
        <f>IF(A58="","",IFERROR(INDEX('00_Parametres'!$C$7:$C$13,WEEKDAY(A58,2)),""))</f>
      </c>
      <c r="F58" s="24">
        <f>IF(A58="","",IFERROR(INDEX('00_Parametres'!$D$7:$D$13,WEEKDAY(A58,2)),""))</f>
      </c>
      <c r="G58" s="24">
        <f>IF(A58="","",IFERROR(INDEX('00_Parametres'!$E$7:$E$13,WEEKDAY(A58,2)),0))</f>
      </c>
      <c r="H58" s="11"/>
      <c r="I58" s="11"/>
      <c r="J58" s="11"/>
      <c r="K58" s="11"/>
      <c r="L58" s="12">
        <f>IF(OR(A58="",H58=""),"",IF(H58&lt;E58,IF(OR(J58="Oui",'00_Parametres'!$B$28="Oui"),H58,E58),H58))</f>
      </c>
      <c r="M58" s="12">
        <f>IF(OR(A58="",I58=""),"",IF(I58&gt;F58,IF(OR(K58="Oui",'00_Parametres'!$B$29="Oui"),I58,F58),I58))</f>
      </c>
      <c r="N58" s="25">
        <f>IF(OR(A58="",H58="",E58=""),0,MAX(0,ROUND((H58-E58)*1440,0)))</f>
      </c>
      <c r="O58" s="25">
        <f>IF(OR(A58="",I58="",F58=""),0,MAX(0,ROUND((F58-I58)*1440,0)))</f>
      </c>
      <c r="P58" s="12">
        <f>IF(OR(L58="",M58=""),0,MAX(0,ROUND((M58-L58)*24-G58,2)))</f>
      </c>
      <c r="Q58" s="12">
        <f>IF(P58=0,0,MIN(P58,'00_Parametres'!$B$23))</f>
      </c>
      <c r="R58" s="12">
        <f>IF(P58=0,0,MAX(0,P58-'00_Parametres'!$B$23))</f>
      </c>
      <c r="S58" s="10"/>
      <c r="T58" s="10"/>
      <c r="U58" s="10"/>
    </row>
    <row r="59" spans="1:21" x14ac:dyDescent="0.25">
      <c r="A59" s="18"/>
      <c r="B59" s="18"/>
      <c r="C59" s="9">
        <f>IF(B59="","",IFERROR(VLOOKUP(B59,'01_Employes'!$A$6:$Q$30,4,FALSE),"⚠ ID inconnu"))</f>
      </c>
      <c r="D59" s="9">
        <f>IF(A59="","",TEXT(A59,"dddd"))</f>
      </c>
      <c r="E59" s="24">
        <f>IF(A59="","",IFERROR(INDEX('00_Parametres'!$C$7:$C$13,WEEKDAY(A59,2)),""))</f>
      </c>
      <c r="F59" s="24">
        <f>IF(A59="","",IFERROR(INDEX('00_Parametres'!$D$7:$D$13,WEEKDAY(A59,2)),""))</f>
      </c>
      <c r="G59" s="24">
        <f>IF(A59="","",IFERROR(INDEX('00_Parametres'!$E$7:$E$13,WEEKDAY(A59,2)),0))</f>
      </c>
      <c r="H59" s="11"/>
      <c r="I59" s="11"/>
      <c r="J59" s="11"/>
      <c r="K59" s="11"/>
      <c r="L59" s="12">
        <f>IF(OR(A59="",H59=""),"",IF(H59&lt;E59,IF(OR(J59="Oui",'00_Parametres'!$B$28="Oui"),H59,E59),H59))</f>
      </c>
      <c r="M59" s="12">
        <f>IF(OR(A59="",I59=""),"",IF(I59&gt;F59,IF(OR(K59="Oui",'00_Parametres'!$B$29="Oui"),I59,F59),I59))</f>
      </c>
      <c r="N59" s="25">
        <f>IF(OR(A59="",H59="",E59=""),0,MAX(0,ROUND((H59-E59)*1440,0)))</f>
      </c>
      <c r="O59" s="25">
        <f>IF(OR(A59="",I59="",F59=""),0,MAX(0,ROUND((F59-I59)*1440,0)))</f>
      </c>
      <c r="P59" s="12">
        <f>IF(OR(L59="",M59=""),0,MAX(0,ROUND((M59-L59)*24-G59,2)))</f>
      </c>
      <c r="Q59" s="12">
        <f>IF(P59=0,0,MIN(P59,'00_Parametres'!$B$23))</f>
      </c>
      <c r="R59" s="12">
        <f>IF(P59=0,0,MAX(0,P59-'00_Parametres'!$B$23))</f>
      </c>
      <c r="S59" s="10"/>
      <c r="T59" s="10"/>
      <c r="U59" s="10"/>
    </row>
    <row r="60" spans="1:21" x14ac:dyDescent="0.25">
      <c r="A60" s="18"/>
      <c r="B60" s="18"/>
      <c r="C60" s="9">
        <f>IF(B60="","",IFERROR(VLOOKUP(B60,'01_Employes'!$A$6:$Q$30,4,FALSE),"⚠ ID inconnu"))</f>
      </c>
      <c r="D60" s="9">
        <f>IF(A60="","",TEXT(A60,"dddd"))</f>
      </c>
      <c r="E60" s="24">
        <f>IF(A60="","",IFERROR(INDEX('00_Parametres'!$C$7:$C$13,WEEKDAY(A60,2)),""))</f>
      </c>
      <c r="F60" s="24">
        <f>IF(A60="","",IFERROR(INDEX('00_Parametres'!$D$7:$D$13,WEEKDAY(A60,2)),""))</f>
      </c>
      <c r="G60" s="24">
        <f>IF(A60="","",IFERROR(INDEX('00_Parametres'!$E$7:$E$13,WEEKDAY(A60,2)),0))</f>
      </c>
      <c r="H60" s="11"/>
      <c r="I60" s="11"/>
      <c r="J60" s="11"/>
      <c r="K60" s="11"/>
      <c r="L60" s="12">
        <f>IF(OR(A60="",H60=""),"",IF(H60&lt;E60,IF(OR(J60="Oui",'00_Parametres'!$B$28="Oui"),H60,E60),H60))</f>
      </c>
      <c r="M60" s="12">
        <f>IF(OR(A60="",I60=""),"",IF(I60&gt;F60,IF(OR(K60="Oui",'00_Parametres'!$B$29="Oui"),I60,F60),I60))</f>
      </c>
      <c r="N60" s="25">
        <f>IF(OR(A60="",H60="",E60=""),0,MAX(0,ROUND((H60-E60)*1440,0)))</f>
      </c>
      <c r="O60" s="25">
        <f>IF(OR(A60="",I60="",F60=""),0,MAX(0,ROUND((F60-I60)*1440,0)))</f>
      </c>
      <c r="P60" s="12">
        <f>IF(OR(L60="",M60=""),0,MAX(0,ROUND((M60-L60)*24-G60,2)))</f>
      </c>
      <c r="Q60" s="12">
        <f>IF(P60=0,0,MIN(P60,'00_Parametres'!$B$23))</f>
      </c>
      <c r="R60" s="12">
        <f>IF(P60=0,0,MAX(0,P60-'00_Parametres'!$B$23))</f>
      </c>
      <c r="S60" s="10"/>
      <c r="T60" s="10"/>
      <c r="U60" s="10"/>
    </row>
    <row r="61" spans="1:21" x14ac:dyDescent="0.25">
      <c r="A61" s="18"/>
      <c r="B61" s="18"/>
      <c r="C61" s="9">
        <f>IF(B61="","",IFERROR(VLOOKUP(B61,'01_Employes'!$A$6:$Q$30,4,FALSE),"⚠ ID inconnu"))</f>
      </c>
      <c r="D61" s="9">
        <f>IF(A61="","",TEXT(A61,"dddd"))</f>
      </c>
      <c r="E61" s="24">
        <f>IF(A61="","",IFERROR(INDEX('00_Parametres'!$C$7:$C$13,WEEKDAY(A61,2)),""))</f>
      </c>
      <c r="F61" s="24">
        <f>IF(A61="","",IFERROR(INDEX('00_Parametres'!$D$7:$D$13,WEEKDAY(A61,2)),""))</f>
      </c>
      <c r="G61" s="24">
        <f>IF(A61="","",IFERROR(INDEX('00_Parametres'!$E$7:$E$13,WEEKDAY(A61,2)),0))</f>
      </c>
      <c r="H61" s="11"/>
      <c r="I61" s="11"/>
      <c r="J61" s="11"/>
      <c r="K61" s="11"/>
      <c r="L61" s="12">
        <f>IF(OR(A61="",H61=""),"",IF(H61&lt;E61,IF(OR(J61="Oui",'00_Parametres'!$B$28="Oui"),H61,E61),H61))</f>
      </c>
      <c r="M61" s="12">
        <f>IF(OR(A61="",I61=""),"",IF(I61&gt;F61,IF(OR(K61="Oui",'00_Parametres'!$B$29="Oui"),I61,F61),I61))</f>
      </c>
      <c r="N61" s="25">
        <f>IF(OR(A61="",H61="",E61=""),0,MAX(0,ROUND((H61-E61)*1440,0)))</f>
      </c>
      <c r="O61" s="25">
        <f>IF(OR(A61="",I61="",F61=""),0,MAX(0,ROUND((F61-I61)*1440,0)))</f>
      </c>
      <c r="P61" s="12">
        <f>IF(OR(L61="",M61=""),0,MAX(0,ROUND((M61-L61)*24-G61,2)))</f>
      </c>
      <c r="Q61" s="12">
        <f>IF(P61=0,0,MIN(P61,'00_Parametres'!$B$23))</f>
      </c>
      <c r="R61" s="12">
        <f>IF(P61=0,0,MAX(0,P61-'00_Parametres'!$B$23))</f>
      </c>
      <c r="S61" s="10"/>
      <c r="T61" s="10"/>
      <c r="U61" s="10"/>
    </row>
    <row r="62" spans="1:21" x14ac:dyDescent="0.25">
      <c r="A62" s="18"/>
      <c r="B62" s="18"/>
      <c r="C62" s="9">
        <f>IF(B62="","",IFERROR(VLOOKUP(B62,'01_Employes'!$A$6:$Q$30,4,FALSE),"⚠ ID inconnu"))</f>
      </c>
      <c r="D62" s="9">
        <f>IF(A62="","",TEXT(A62,"dddd"))</f>
      </c>
      <c r="E62" s="24">
        <f>IF(A62="","",IFERROR(INDEX('00_Parametres'!$C$7:$C$13,WEEKDAY(A62,2)),""))</f>
      </c>
      <c r="F62" s="24">
        <f>IF(A62="","",IFERROR(INDEX('00_Parametres'!$D$7:$D$13,WEEKDAY(A62,2)),""))</f>
      </c>
      <c r="G62" s="24">
        <f>IF(A62="","",IFERROR(INDEX('00_Parametres'!$E$7:$E$13,WEEKDAY(A62,2)),0))</f>
      </c>
      <c r="H62" s="11"/>
      <c r="I62" s="11"/>
      <c r="J62" s="11"/>
      <c r="K62" s="11"/>
      <c r="L62" s="12">
        <f>IF(OR(A62="",H62=""),"",IF(H62&lt;E62,IF(OR(J62="Oui",'00_Parametres'!$B$28="Oui"),H62,E62),H62))</f>
      </c>
      <c r="M62" s="12">
        <f>IF(OR(A62="",I62=""),"",IF(I62&gt;F62,IF(OR(K62="Oui",'00_Parametres'!$B$29="Oui"),I62,F62),I62))</f>
      </c>
      <c r="N62" s="25">
        <f>IF(OR(A62="",H62="",E62=""),0,MAX(0,ROUND((H62-E62)*1440,0)))</f>
      </c>
      <c r="O62" s="25">
        <f>IF(OR(A62="",I62="",F62=""),0,MAX(0,ROUND((F62-I62)*1440,0)))</f>
      </c>
      <c r="P62" s="12">
        <f>IF(OR(L62="",M62=""),0,MAX(0,ROUND((M62-L62)*24-G62,2)))</f>
      </c>
      <c r="Q62" s="12">
        <f>IF(P62=0,0,MIN(P62,'00_Parametres'!$B$23))</f>
      </c>
      <c r="R62" s="12">
        <f>IF(P62=0,0,MAX(0,P62-'00_Parametres'!$B$23))</f>
      </c>
      <c r="S62" s="10"/>
      <c r="T62" s="10"/>
      <c r="U62" s="10"/>
    </row>
    <row r="63" spans="1:21" x14ac:dyDescent="0.25">
      <c r="A63" s="18"/>
      <c r="B63" s="18"/>
      <c r="C63" s="9">
        <f>IF(B63="","",IFERROR(VLOOKUP(B63,'01_Employes'!$A$6:$Q$30,4,FALSE),"⚠ ID inconnu"))</f>
      </c>
      <c r="D63" s="9">
        <f>IF(A63="","",TEXT(A63,"dddd"))</f>
      </c>
      <c r="E63" s="24">
        <f>IF(A63="","",IFERROR(INDEX('00_Parametres'!$C$7:$C$13,WEEKDAY(A63,2)),""))</f>
      </c>
      <c r="F63" s="24">
        <f>IF(A63="","",IFERROR(INDEX('00_Parametres'!$D$7:$D$13,WEEKDAY(A63,2)),""))</f>
      </c>
      <c r="G63" s="24">
        <f>IF(A63="","",IFERROR(INDEX('00_Parametres'!$E$7:$E$13,WEEKDAY(A63,2)),0))</f>
      </c>
      <c r="H63" s="11"/>
      <c r="I63" s="11"/>
      <c r="J63" s="11"/>
      <c r="K63" s="11"/>
      <c r="L63" s="12">
        <f>IF(OR(A63="",H63=""),"",IF(H63&lt;E63,IF(OR(J63="Oui",'00_Parametres'!$B$28="Oui"),H63,E63),H63))</f>
      </c>
      <c r="M63" s="12">
        <f>IF(OR(A63="",I63=""),"",IF(I63&gt;F63,IF(OR(K63="Oui",'00_Parametres'!$B$29="Oui"),I63,F63),I63))</f>
      </c>
      <c r="N63" s="25">
        <f>IF(OR(A63="",H63="",E63=""),0,MAX(0,ROUND((H63-E63)*1440,0)))</f>
      </c>
      <c r="O63" s="25">
        <f>IF(OR(A63="",I63="",F63=""),0,MAX(0,ROUND((F63-I63)*1440,0)))</f>
      </c>
      <c r="P63" s="12">
        <f>IF(OR(L63="",M63=""),0,MAX(0,ROUND((M63-L63)*24-G63,2)))</f>
      </c>
      <c r="Q63" s="12">
        <f>IF(P63=0,0,MIN(P63,'00_Parametres'!$B$23))</f>
      </c>
      <c r="R63" s="12">
        <f>IF(P63=0,0,MAX(0,P63-'00_Parametres'!$B$23))</f>
      </c>
      <c r="S63" s="10"/>
      <c r="T63" s="10"/>
      <c r="U63" s="10"/>
    </row>
    <row r="64" spans="1:21" x14ac:dyDescent="0.25">
      <c r="A64" s="18"/>
      <c r="B64" s="18"/>
      <c r="C64" s="9">
        <f>IF(B64="","",IFERROR(VLOOKUP(B64,'01_Employes'!$A$6:$Q$30,4,FALSE),"⚠ ID inconnu"))</f>
      </c>
      <c r="D64" s="9">
        <f>IF(A64="","",TEXT(A64,"dddd"))</f>
      </c>
      <c r="E64" s="24">
        <f>IF(A64="","",IFERROR(INDEX('00_Parametres'!$C$7:$C$13,WEEKDAY(A64,2)),""))</f>
      </c>
      <c r="F64" s="24">
        <f>IF(A64="","",IFERROR(INDEX('00_Parametres'!$D$7:$D$13,WEEKDAY(A64,2)),""))</f>
      </c>
      <c r="G64" s="24">
        <f>IF(A64="","",IFERROR(INDEX('00_Parametres'!$E$7:$E$13,WEEKDAY(A64,2)),0))</f>
      </c>
      <c r="H64" s="11"/>
      <c r="I64" s="11"/>
      <c r="J64" s="11"/>
      <c r="K64" s="11"/>
      <c r="L64" s="12">
        <f>IF(OR(A64="",H64=""),"",IF(H64&lt;E64,IF(OR(J64="Oui",'00_Parametres'!$B$28="Oui"),H64,E64),H64))</f>
      </c>
      <c r="M64" s="12">
        <f>IF(OR(A64="",I64=""),"",IF(I64&gt;F64,IF(OR(K64="Oui",'00_Parametres'!$B$29="Oui"),I64,F64),I64))</f>
      </c>
      <c r="N64" s="25">
        <f>IF(OR(A64="",H64="",E64=""),0,MAX(0,ROUND((H64-E64)*1440,0)))</f>
      </c>
      <c r="O64" s="25">
        <f>IF(OR(A64="",I64="",F64=""),0,MAX(0,ROUND((F64-I64)*1440,0)))</f>
      </c>
      <c r="P64" s="12">
        <f>IF(OR(L64="",M64=""),0,MAX(0,ROUND((M64-L64)*24-G64,2)))</f>
      </c>
      <c r="Q64" s="12">
        <f>IF(P64=0,0,MIN(P64,'00_Parametres'!$B$23))</f>
      </c>
      <c r="R64" s="12">
        <f>IF(P64=0,0,MAX(0,P64-'00_Parametres'!$B$23))</f>
      </c>
      <c r="S64" s="10"/>
      <c r="T64" s="10"/>
      <c r="U64" s="10"/>
    </row>
    <row r="65" spans="1:21" x14ac:dyDescent="0.25">
      <c r="A65" s="18"/>
      <c r="B65" s="18"/>
      <c r="C65" s="9">
        <f>IF(B65="","",IFERROR(VLOOKUP(B65,'01_Employes'!$A$6:$Q$30,4,FALSE),"⚠ ID inconnu"))</f>
      </c>
      <c r="D65" s="9">
        <f>IF(A65="","",TEXT(A65,"dddd"))</f>
      </c>
      <c r="E65" s="24">
        <f>IF(A65="","",IFERROR(INDEX('00_Parametres'!$C$7:$C$13,WEEKDAY(A65,2)),""))</f>
      </c>
      <c r="F65" s="24">
        <f>IF(A65="","",IFERROR(INDEX('00_Parametres'!$D$7:$D$13,WEEKDAY(A65,2)),""))</f>
      </c>
      <c r="G65" s="24">
        <f>IF(A65="","",IFERROR(INDEX('00_Parametres'!$E$7:$E$13,WEEKDAY(A65,2)),0))</f>
      </c>
      <c r="H65" s="11"/>
      <c r="I65" s="11"/>
      <c r="J65" s="11"/>
      <c r="K65" s="11"/>
      <c r="L65" s="12">
        <f>IF(OR(A65="",H65=""),"",IF(H65&lt;E65,IF(OR(J65="Oui",'00_Parametres'!$B$28="Oui"),H65,E65),H65))</f>
      </c>
      <c r="M65" s="12">
        <f>IF(OR(A65="",I65=""),"",IF(I65&gt;F65,IF(OR(K65="Oui",'00_Parametres'!$B$29="Oui"),I65,F65),I65))</f>
      </c>
      <c r="N65" s="25">
        <f>IF(OR(A65="",H65="",E65=""),0,MAX(0,ROUND((H65-E65)*1440,0)))</f>
      </c>
      <c r="O65" s="25">
        <f>IF(OR(A65="",I65="",F65=""),0,MAX(0,ROUND((F65-I65)*1440,0)))</f>
      </c>
      <c r="P65" s="12">
        <f>IF(OR(L65="",M65=""),0,MAX(0,ROUND((M65-L65)*24-G65,2)))</f>
      </c>
      <c r="Q65" s="12">
        <f>IF(P65=0,0,MIN(P65,'00_Parametres'!$B$23))</f>
      </c>
      <c r="R65" s="12">
        <f>IF(P65=0,0,MAX(0,P65-'00_Parametres'!$B$23))</f>
      </c>
      <c r="S65" s="10"/>
      <c r="T65" s="10"/>
      <c r="U65" s="10"/>
    </row>
    <row r="66" spans="1:21" x14ac:dyDescent="0.25">
      <c r="A66" s="18"/>
      <c r="B66" s="18"/>
      <c r="C66" s="9">
        <f>IF(B66="","",IFERROR(VLOOKUP(B66,'01_Employes'!$A$6:$Q$30,4,FALSE),"⚠ ID inconnu"))</f>
      </c>
      <c r="D66" s="9">
        <f>IF(A66="","",TEXT(A66,"dddd"))</f>
      </c>
      <c r="E66" s="24">
        <f>IF(A66="","",IFERROR(INDEX('00_Parametres'!$C$7:$C$13,WEEKDAY(A66,2)),""))</f>
      </c>
      <c r="F66" s="24">
        <f>IF(A66="","",IFERROR(INDEX('00_Parametres'!$D$7:$D$13,WEEKDAY(A66,2)),""))</f>
      </c>
      <c r="G66" s="24">
        <f>IF(A66="","",IFERROR(INDEX('00_Parametres'!$E$7:$E$13,WEEKDAY(A66,2)),0))</f>
      </c>
      <c r="H66" s="11"/>
      <c r="I66" s="11"/>
      <c r="J66" s="11"/>
      <c r="K66" s="11"/>
      <c r="L66" s="12">
        <f>IF(OR(A66="",H66=""),"",IF(H66&lt;E66,IF(OR(J66="Oui",'00_Parametres'!$B$28="Oui"),H66,E66),H66))</f>
      </c>
      <c r="M66" s="12">
        <f>IF(OR(A66="",I66=""),"",IF(I66&gt;F66,IF(OR(K66="Oui",'00_Parametres'!$B$29="Oui"),I66,F66),I66))</f>
      </c>
      <c r="N66" s="25">
        <f>IF(OR(A66="",H66="",E66=""),0,MAX(0,ROUND((H66-E66)*1440,0)))</f>
      </c>
      <c r="O66" s="25">
        <f>IF(OR(A66="",I66="",F66=""),0,MAX(0,ROUND((F66-I66)*1440,0)))</f>
      </c>
      <c r="P66" s="12">
        <f>IF(OR(L66="",M66=""),0,MAX(0,ROUND((M66-L66)*24-G66,2)))</f>
      </c>
      <c r="Q66" s="12">
        <f>IF(P66=0,0,MIN(P66,'00_Parametres'!$B$23))</f>
      </c>
      <c r="R66" s="12">
        <f>IF(P66=0,0,MAX(0,P66-'00_Parametres'!$B$23))</f>
      </c>
      <c r="S66" s="10"/>
      <c r="T66" s="10"/>
      <c r="U66" s="10"/>
    </row>
    <row r="67" spans="1:21" x14ac:dyDescent="0.25">
      <c r="A67" s="18"/>
      <c r="B67" s="18"/>
      <c r="C67" s="9">
        <f>IF(B67="","",IFERROR(VLOOKUP(B67,'01_Employes'!$A$6:$Q$30,4,FALSE),"⚠ ID inconnu"))</f>
      </c>
      <c r="D67" s="9">
        <f>IF(A67="","",TEXT(A67,"dddd"))</f>
      </c>
      <c r="E67" s="24">
        <f>IF(A67="","",IFERROR(INDEX('00_Parametres'!$C$7:$C$13,WEEKDAY(A67,2)),""))</f>
      </c>
      <c r="F67" s="24">
        <f>IF(A67="","",IFERROR(INDEX('00_Parametres'!$D$7:$D$13,WEEKDAY(A67,2)),""))</f>
      </c>
      <c r="G67" s="24">
        <f>IF(A67="","",IFERROR(INDEX('00_Parametres'!$E$7:$E$13,WEEKDAY(A67,2)),0))</f>
      </c>
      <c r="H67" s="11"/>
      <c r="I67" s="11"/>
      <c r="J67" s="11"/>
      <c r="K67" s="11"/>
      <c r="L67" s="12">
        <f>IF(OR(A67="",H67=""),"",IF(H67&lt;E67,IF(OR(J67="Oui",'00_Parametres'!$B$28="Oui"),H67,E67),H67))</f>
      </c>
      <c r="M67" s="12">
        <f>IF(OR(A67="",I67=""),"",IF(I67&gt;F67,IF(OR(K67="Oui",'00_Parametres'!$B$29="Oui"),I67,F67),I67))</f>
      </c>
      <c r="N67" s="25">
        <f>IF(OR(A67="",H67="",E67=""),0,MAX(0,ROUND((H67-E67)*1440,0)))</f>
      </c>
      <c r="O67" s="25">
        <f>IF(OR(A67="",I67="",F67=""),0,MAX(0,ROUND((F67-I67)*1440,0)))</f>
      </c>
      <c r="P67" s="12">
        <f>IF(OR(L67="",M67=""),0,MAX(0,ROUND((M67-L67)*24-G67,2)))</f>
      </c>
      <c r="Q67" s="12">
        <f>IF(P67=0,0,MIN(P67,'00_Parametres'!$B$23))</f>
      </c>
      <c r="R67" s="12">
        <f>IF(P67=0,0,MAX(0,P67-'00_Parametres'!$B$23))</f>
      </c>
      <c r="S67" s="10"/>
      <c r="T67" s="10"/>
      <c r="U67" s="10"/>
    </row>
    <row r="68" spans="1:21" x14ac:dyDescent="0.25">
      <c r="A68" s="18"/>
      <c r="B68" s="18"/>
      <c r="C68" s="9">
        <f>IF(B68="","",IFERROR(VLOOKUP(B68,'01_Employes'!$A$6:$Q$30,4,FALSE),"⚠ ID inconnu"))</f>
      </c>
      <c r="D68" s="9">
        <f>IF(A68="","",TEXT(A68,"dddd"))</f>
      </c>
      <c r="E68" s="24">
        <f>IF(A68="","",IFERROR(INDEX('00_Parametres'!$C$7:$C$13,WEEKDAY(A68,2)),""))</f>
      </c>
      <c r="F68" s="24">
        <f>IF(A68="","",IFERROR(INDEX('00_Parametres'!$D$7:$D$13,WEEKDAY(A68,2)),""))</f>
      </c>
      <c r="G68" s="24">
        <f>IF(A68="","",IFERROR(INDEX('00_Parametres'!$E$7:$E$13,WEEKDAY(A68,2)),0))</f>
      </c>
      <c r="H68" s="11"/>
      <c r="I68" s="11"/>
      <c r="J68" s="11"/>
      <c r="K68" s="11"/>
      <c r="L68" s="12">
        <f>IF(OR(A68="",H68=""),"",IF(H68&lt;E68,IF(OR(J68="Oui",'00_Parametres'!$B$28="Oui"),H68,E68),H68))</f>
      </c>
      <c r="M68" s="12">
        <f>IF(OR(A68="",I68=""),"",IF(I68&gt;F68,IF(OR(K68="Oui",'00_Parametres'!$B$29="Oui"),I68,F68),I68))</f>
      </c>
      <c r="N68" s="25">
        <f>IF(OR(A68="",H68="",E68=""),0,MAX(0,ROUND((H68-E68)*1440,0)))</f>
      </c>
      <c r="O68" s="25">
        <f>IF(OR(A68="",I68="",F68=""),0,MAX(0,ROUND((F68-I68)*1440,0)))</f>
      </c>
      <c r="P68" s="12">
        <f>IF(OR(L68="",M68=""),0,MAX(0,ROUND((M68-L68)*24-G68,2)))</f>
      </c>
      <c r="Q68" s="12">
        <f>IF(P68=0,0,MIN(P68,'00_Parametres'!$B$23))</f>
      </c>
      <c r="R68" s="12">
        <f>IF(P68=0,0,MAX(0,P68-'00_Parametres'!$B$23))</f>
      </c>
      <c r="S68" s="10"/>
      <c r="T68" s="10"/>
      <c r="U68" s="10"/>
    </row>
    <row r="69" spans="1:21" x14ac:dyDescent="0.25">
      <c r="A69" s="18"/>
      <c r="B69" s="18"/>
      <c r="C69" s="9">
        <f>IF(B69="","",IFERROR(VLOOKUP(B69,'01_Employes'!$A$6:$Q$30,4,FALSE),"⚠ ID inconnu"))</f>
      </c>
      <c r="D69" s="9">
        <f>IF(A69="","",TEXT(A69,"dddd"))</f>
      </c>
      <c r="E69" s="24">
        <f>IF(A69="","",IFERROR(INDEX('00_Parametres'!$C$7:$C$13,WEEKDAY(A69,2)),""))</f>
      </c>
      <c r="F69" s="24">
        <f>IF(A69="","",IFERROR(INDEX('00_Parametres'!$D$7:$D$13,WEEKDAY(A69,2)),""))</f>
      </c>
      <c r="G69" s="24">
        <f>IF(A69="","",IFERROR(INDEX('00_Parametres'!$E$7:$E$13,WEEKDAY(A69,2)),0))</f>
      </c>
      <c r="H69" s="11"/>
      <c r="I69" s="11"/>
      <c r="J69" s="11"/>
      <c r="K69" s="11"/>
      <c r="L69" s="12">
        <f>IF(OR(A69="",H69=""),"",IF(H69&lt;E69,IF(OR(J69="Oui",'00_Parametres'!$B$28="Oui"),H69,E69),H69))</f>
      </c>
      <c r="M69" s="12">
        <f>IF(OR(A69="",I69=""),"",IF(I69&gt;F69,IF(OR(K69="Oui",'00_Parametres'!$B$29="Oui"),I69,F69),I69))</f>
      </c>
      <c r="N69" s="25">
        <f>IF(OR(A69="",H69="",E69=""),0,MAX(0,ROUND((H69-E69)*1440,0)))</f>
      </c>
      <c r="O69" s="25">
        <f>IF(OR(A69="",I69="",F69=""),0,MAX(0,ROUND((F69-I69)*1440,0)))</f>
      </c>
      <c r="P69" s="12">
        <f>IF(OR(L69="",M69=""),0,MAX(0,ROUND((M69-L69)*24-G69,2)))</f>
      </c>
      <c r="Q69" s="12">
        <f>IF(P69=0,0,MIN(P69,'00_Parametres'!$B$23))</f>
      </c>
      <c r="R69" s="12">
        <f>IF(P69=0,0,MAX(0,P69-'00_Parametres'!$B$23))</f>
      </c>
      <c r="S69" s="10"/>
      <c r="T69" s="10"/>
      <c r="U69" s="10"/>
    </row>
    <row r="70" spans="1:21" x14ac:dyDescent="0.25">
      <c r="A70" s="18"/>
      <c r="B70" s="18"/>
      <c r="C70" s="9">
        <f>IF(B70="","",IFERROR(VLOOKUP(B70,'01_Employes'!$A$6:$Q$30,4,FALSE),"⚠ ID inconnu"))</f>
      </c>
      <c r="D70" s="9">
        <f>IF(A70="","",TEXT(A70,"dddd"))</f>
      </c>
      <c r="E70" s="24">
        <f>IF(A70="","",IFERROR(INDEX('00_Parametres'!$C$7:$C$13,WEEKDAY(A70,2)),""))</f>
      </c>
      <c r="F70" s="24">
        <f>IF(A70="","",IFERROR(INDEX('00_Parametres'!$D$7:$D$13,WEEKDAY(A70,2)),""))</f>
      </c>
      <c r="G70" s="24">
        <f>IF(A70="","",IFERROR(INDEX('00_Parametres'!$E$7:$E$13,WEEKDAY(A70,2)),0))</f>
      </c>
      <c r="H70" s="11"/>
      <c r="I70" s="11"/>
      <c r="J70" s="11"/>
      <c r="K70" s="11"/>
      <c r="L70" s="12">
        <f>IF(OR(A70="",H70=""),"",IF(H70&lt;E70,IF(OR(J70="Oui",'00_Parametres'!$B$28="Oui"),H70,E70),H70))</f>
      </c>
      <c r="M70" s="12">
        <f>IF(OR(A70="",I70=""),"",IF(I70&gt;F70,IF(OR(K70="Oui",'00_Parametres'!$B$29="Oui"),I70,F70),I70))</f>
      </c>
      <c r="N70" s="25">
        <f>IF(OR(A70="",H70="",E70=""),0,MAX(0,ROUND((H70-E70)*1440,0)))</f>
      </c>
      <c r="O70" s="25">
        <f>IF(OR(A70="",I70="",F70=""),0,MAX(0,ROUND((F70-I70)*1440,0)))</f>
      </c>
      <c r="P70" s="12">
        <f>IF(OR(L70="",M70=""),0,MAX(0,ROUND((M70-L70)*24-G70,2)))</f>
      </c>
      <c r="Q70" s="12">
        <f>IF(P70=0,0,MIN(P70,'00_Parametres'!$B$23))</f>
      </c>
      <c r="R70" s="12">
        <f>IF(P70=0,0,MAX(0,P70-'00_Parametres'!$B$23))</f>
      </c>
      <c r="S70" s="10"/>
      <c r="T70" s="10"/>
      <c r="U70" s="10"/>
    </row>
    <row r="71" spans="1:21" x14ac:dyDescent="0.25">
      <c r="A71" s="18"/>
      <c r="B71" s="18"/>
      <c r="C71" s="9">
        <f>IF(B71="","",IFERROR(VLOOKUP(B71,'01_Employes'!$A$6:$Q$30,4,FALSE),"⚠ ID inconnu"))</f>
      </c>
      <c r="D71" s="9">
        <f>IF(A71="","",TEXT(A71,"dddd"))</f>
      </c>
      <c r="E71" s="24">
        <f>IF(A71="","",IFERROR(INDEX('00_Parametres'!$C$7:$C$13,WEEKDAY(A71,2)),""))</f>
      </c>
      <c r="F71" s="24">
        <f>IF(A71="","",IFERROR(INDEX('00_Parametres'!$D$7:$D$13,WEEKDAY(A71,2)),""))</f>
      </c>
      <c r="G71" s="24">
        <f>IF(A71="","",IFERROR(INDEX('00_Parametres'!$E$7:$E$13,WEEKDAY(A71,2)),0))</f>
      </c>
      <c r="H71" s="11"/>
      <c r="I71" s="11"/>
      <c r="J71" s="11"/>
      <c r="K71" s="11"/>
      <c r="L71" s="12">
        <f>IF(OR(A71="",H71=""),"",IF(H71&lt;E71,IF(OR(J71="Oui",'00_Parametres'!$B$28="Oui"),H71,E71),H71))</f>
      </c>
      <c r="M71" s="12">
        <f>IF(OR(A71="",I71=""),"",IF(I71&gt;F71,IF(OR(K71="Oui",'00_Parametres'!$B$29="Oui"),I71,F71),I71))</f>
      </c>
      <c r="N71" s="25">
        <f>IF(OR(A71="",H71="",E71=""),0,MAX(0,ROUND((H71-E71)*1440,0)))</f>
      </c>
      <c r="O71" s="25">
        <f>IF(OR(A71="",I71="",F71=""),0,MAX(0,ROUND((F71-I71)*1440,0)))</f>
      </c>
      <c r="P71" s="12">
        <f>IF(OR(L71="",M71=""),0,MAX(0,ROUND((M71-L71)*24-G71,2)))</f>
      </c>
      <c r="Q71" s="12">
        <f>IF(P71=0,0,MIN(P71,'00_Parametres'!$B$23))</f>
      </c>
      <c r="R71" s="12">
        <f>IF(P71=0,0,MAX(0,P71-'00_Parametres'!$B$23))</f>
      </c>
      <c r="S71" s="10"/>
      <c r="T71" s="10"/>
      <c r="U71" s="10"/>
    </row>
    <row r="72" spans="1:21" x14ac:dyDescent="0.25">
      <c r="A72" s="18"/>
      <c r="B72" s="18"/>
      <c r="C72" s="9">
        <f>IF(B72="","",IFERROR(VLOOKUP(B72,'01_Employes'!$A$6:$Q$30,4,FALSE),"⚠ ID inconnu"))</f>
      </c>
      <c r="D72" s="9">
        <f>IF(A72="","",TEXT(A72,"dddd"))</f>
      </c>
      <c r="E72" s="24">
        <f>IF(A72="","",IFERROR(INDEX('00_Parametres'!$C$7:$C$13,WEEKDAY(A72,2)),""))</f>
      </c>
      <c r="F72" s="24">
        <f>IF(A72="","",IFERROR(INDEX('00_Parametres'!$D$7:$D$13,WEEKDAY(A72,2)),""))</f>
      </c>
      <c r="G72" s="24">
        <f>IF(A72="","",IFERROR(INDEX('00_Parametres'!$E$7:$E$13,WEEKDAY(A72,2)),0))</f>
      </c>
      <c r="H72" s="11"/>
      <c r="I72" s="11"/>
      <c r="J72" s="11"/>
      <c r="K72" s="11"/>
      <c r="L72" s="12">
        <f>IF(OR(A72="",H72=""),"",IF(H72&lt;E72,IF(OR(J72="Oui",'00_Parametres'!$B$28="Oui"),H72,E72),H72))</f>
      </c>
      <c r="M72" s="12">
        <f>IF(OR(A72="",I72=""),"",IF(I72&gt;F72,IF(OR(K72="Oui",'00_Parametres'!$B$29="Oui"),I72,F72),I72))</f>
      </c>
      <c r="N72" s="25">
        <f>IF(OR(A72="",H72="",E72=""),0,MAX(0,ROUND((H72-E72)*1440,0)))</f>
      </c>
      <c r="O72" s="25">
        <f>IF(OR(A72="",I72="",F72=""),0,MAX(0,ROUND((F72-I72)*1440,0)))</f>
      </c>
      <c r="P72" s="12">
        <f>IF(OR(L72="",M72=""),0,MAX(0,ROUND((M72-L72)*24-G72,2)))</f>
      </c>
      <c r="Q72" s="12">
        <f>IF(P72=0,0,MIN(P72,'00_Parametres'!$B$23))</f>
      </c>
      <c r="R72" s="12">
        <f>IF(P72=0,0,MAX(0,P72-'00_Parametres'!$B$23))</f>
      </c>
      <c r="S72" s="10"/>
      <c r="T72" s="10"/>
      <c r="U72" s="10"/>
    </row>
    <row r="73" spans="1:21" x14ac:dyDescent="0.25">
      <c r="A73" s="18"/>
      <c r="B73" s="18"/>
      <c r="C73" s="9">
        <f>IF(B73="","",IFERROR(VLOOKUP(B73,'01_Employes'!$A$6:$Q$30,4,FALSE),"⚠ ID inconnu"))</f>
      </c>
      <c r="D73" s="9">
        <f>IF(A73="","",TEXT(A73,"dddd"))</f>
      </c>
      <c r="E73" s="24">
        <f>IF(A73="","",IFERROR(INDEX('00_Parametres'!$C$7:$C$13,WEEKDAY(A73,2)),""))</f>
      </c>
      <c r="F73" s="24">
        <f>IF(A73="","",IFERROR(INDEX('00_Parametres'!$D$7:$D$13,WEEKDAY(A73,2)),""))</f>
      </c>
      <c r="G73" s="24">
        <f>IF(A73="","",IFERROR(INDEX('00_Parametres'!$E$7:$E$13,WEEKDAY(A73,2)),0))</f>
      </c>
      <c r="H73" s="11"/>
      <c r="I73" s="11"/>
      <c r="J73" s="11"/>
      <c r="K73" s="11"/>
      <c r="L73" s="12">
        <f>IF(OR(A73="",H73=""),"",IF(H73&lt;E73,IF(OR(J73="Oui",'00_Parametres'!$B$28="Oui"),H73,E73),H73))</f>
      </c>
      <c r="M73" s="12">
        <f>IF(OR(A73="",I73=""),"",IF(I73&gt;F73,IF(OR(K73="Oui",'00_Parametres'!$B$29="Oui"),I73,F73),I73))</f>
      </c>
      <c r="N73" s="25">
        <f>IF(OR(A73="",H73="",E73=""),0,MAX(0,ROUND((H73-E73)*1440,0)))</f>
      </c>
      <c r="O73" s="25">
        <f>IF(OR(A73="",I73="",F73=""),0,MAX(0,ROUND((F73-I73)*1440,0)))</f>
      </c>
      <c r="P73" s="12">
        <f>IF(OR(L73="",M73=""),0,MAX(0,ROUND((M73-L73)*24-G73,2)))</f>
      </c>
      <c r="Q73" s="12">
        <f>IF(P73=0,0,MIN(P73,'00_Parametres'!$B$23))</f>
      </c>
      <c r="R73" s="12">
        <f>IF(P73=0,0,MAX(0,P73-'00_Parametres'!$B$23))</f>
      </c>
      <c r="S73" s="10"/>
      <c r="T73" s="10"/>
      <c r="U73" s="10"/>
    </row>
    <row r="74" spans="1:21" x14ac:dyDescent="0.25">
      <c r="A74" s="18"/>
      <c r="B74" s="18"/>
      <c r="C74" s="9">
        <f>IF(B74="","",IFERROR(VLOOKUP(B74,'01_Employes'!$A$6:$Q$30,4,FALSE),"⚠ ID inconnu"))</f>
      </c>
      <c r="D74" s="9">
        <f>IF(A74="","",TEXT(A74,"dddd"))</f>
      </c>
      <c r="E74" s="24">
        <f>IF(A74="","",IFERROR(INDEX('00_Parametres'!$C$7:$C$13,WEEKDAY(A74,2)),""))</f>
      </c>
      <c r="F74" s="24">
        <f>IF(A74="","",IFERROR(INDEX('00_Parametres'!$D$7:$D$13,WEEKDAY(A74,2)),""))</f>
      </c>
      <c r="G74" s="24">
        <f>IF(A74="","",IFERROR(INDEX('00_Parametres'!$E$7:$E$13,WEEKDAY(A74,2)),0))</f>
      </c>
      <c r="H74" s="11"/>
      <c r="I74" s="11"/>
      <c r="J74" s="11"/>
      <c r="K74" s="11"/>
      <c r="L74" s="12">
        <f>IF(OR(A74="",H74=""),"",IF(H74&lt;E74,IF(OR(J74="Oui",'00_Parametres'!$B$28="Oui"),H74,E74),H74))</f>
      </c>
      <c r="M74" s="12">
        <f>IF(OR(A74="",I74=""),"",IF(I74&gt;F74,IF(OR(K74="Oui",'00_Parametres'!$B$29="Oui"),I74,F74),I74))</f>
      </c>
      <c r="N74" s="25">
        <f>IF(OR(A74="",H74="",E74=""),0,MAX(0,ROUND((H74-E74)*1440,0)))</f>
      </c>
      <c r="O74" s="25">
        <f>IF(OR(A74="",I74="",F74=""),0,MAX(0,ROUND((F74-I74)*1440,0)))</f>
      </c>
      <c r="P74" s="12">
        <f>IF(OR(L74="",M74=""),0,MAX(0,ROUND((M74-L74)*24-G74,2)))</f>
      </c>
      <c r="Q74" s="12">
        <f>IF(P74=0,0,MIN(P74,'00_Parametres'!$B$23))</f>
      </c>
      <c r="R74" s="12">
        <f>IF(P74=0,0,MAX(0,P74-'00_Parametres'!$B$23))</f>
      </c>
      <c r="S74" s="10"/>
      <c r="T74" s="10"/>
      <c r="U74" s="10"/>
    </row>
    <row r="75" spans="1:21" x14ac:dyDescent="0.25">
      <c r="A75" s="18"/>
      <c r="B75" s="18"/>
      <c r="C75" s="9">
        <f>IF(B75="","",IFERROR(VLOOKUP(B75,'01_Employes'!$A$6:$Q$30,4,FALSE),"⚠ ID inconnu"))</f>
      </c>
      <c r="D75" s="9">
        <f>IF(A75="","",TEXT(A75,"dddd"))</f>
      </c>
      <c r="E75" s="24">
        <f>IF(A75="","",IFERROR(INDEX('00_Parametres'!$C$7:$C$13,WEEKDAY(A75,2)),""))</f>
      </c>
      <c r="F75" s="24">
        <f>IF(A75="","",IFERROR(INDEX('00_Parametres'!$D$7:$D$13,WEEKDAY(A75,2)),""))</f>
      </c>
      <c r="G75" s="24">
        <f>IF(A75="","",IFERROR(INDEX('00_Parametres'!$E$7:$E$13,WEEKDAY(A75,2)),0))</f>
      </c>
      <c r="H75" s="11"/>
      <c r="I75" s="11"/>
      <c r="J75" s="11"/>
      <c r="K75" s="11"/>
      <c r="L75" s="12">
        <f>IF(OR(A75="",H75=""),"",IF(H75&lt;E75,IF(OR(J75="Oui",'00_Parametres'!$B$28="Oui"),H75,E75),H75))</f>
      </c>
      <c r="M75" s="12">
        <f>IF(OR(A75="",I75=""),"",IF(I75&gt;F75,IF(OR(K75="Oui",'00_Parametres'!$B$29="Oui"),I75,F75),I75))</f>
      </c>
      <c r="N75" s="25">
        <f>IF(OR(A75="",H75="",E75=""),0,MAX(0,ROUND((H75-E75)*1440,0)))</f>
      </c>
      <c r="O75" s="25">
        <f>IF(OR(A75="",I75="",F75=""),0,MAX(0,ROUND((F75-I75)*1440,0)))</f>
      </c>
      <c r="P75" s="12">
        <f>IF(OR(L75="",M75=""),0,MAX(0,ROUND((M75-L75)*24-G75,2)))</f>
      </c>
      <c r="Q75" s="12">
        <f>IF(P75=0,0,MIN(P75,'00_Parametres'!$B$23))</f>
      </c>
      <c r="R75" s="12">
        <f>IF(P75=0,0,MAX(0,P75-'00_Parametres'!$B$23))</f>
      </c>
      <c r="S75" s="10"/>
      <c r="T75" s="10"/>
      <c r="U75" s="10"/>
    </row>
    <row r="76" spans="1:21" x14ac:dyDescent="0.25">
      <c r="A76" s="18"/>
      <c r="B76" s="18"/>
      <c r="C76" s="9">
        <f>IF(B76="","",IFERROR(VLOOKUP(B76,'01_Employes'!$A$6:$Q$30,4,FALSE),"⚠ ID inconnu"))</f>
      </c>
      <c r="D76" s="9">
        <f>IF(A76="","",TEXT(A76,"dddd"))</f>
      </c>
      <c r="E76" s="24">
        <f>IF(A76="","",IFERROR(INDEX('00_Parametres'!$C$7:$C$13,WEEKDAY(A76,2)),""))</f>
      </c>
      <c r="F76" s="24">
        <f>IF(A76="","",IFERROR(INDEX('00_Parametres'!$D$7:$D$13,WEEKDAY(A76,2)),""))</f>
      </c>
      <c r="G76" s="24">
        <f>IF(A76="","",IFERROR(INDEX('00_Parametres'!$E$7:$E$13,WEEKDAY(A76,2)),0))</f>
      </c>
      <c r="H76" s="11"/>
      <c r="I76" s="11"/>
      <c r="J76" s="11"/>
      <c r="K76" s="11"/>
      <c r="L76" s="12">
        <f>IF(OR(A76="",H76=""),"",IF(H76&lt;E76,IF(OR(J76="Oui",'00_Parametres'!$B$28="Oui"),H76,E76),H76))</f>
      </c>
      <c r="M76" s="12">
        <f>IF(OR(A76="",I76=""),"",IF(I76&gt;F76,IF(OR(K76="Oui",'00_Parametres'!$B$29="Oui"),I76,F76),I76))</f>
      </c>
      <c r="N76" s="25">
        <f>IF(OR(A76="",H76="",E76=""),0,MAX(0,ROUND((H76-E76)*1440,0)))</f>
      </c>
      <c r="O76" s="25">
        <f>IF(OR(A76="",I76="",F76=""),0,MAX(0,ROUND((F76-I76)*1440,0)))</f>
      </c>
      <c r="P76" s="12">
        <f>IF(OR(L76="",M76=""),0,MAX(0,ROUND((M76-L76)*24-G76,2)))</f>
      </c>
      <c r="Q76" s="12">
        <f>IF(P76=0,0,MIN(P76,'00_Parametres'!$B$23))</f>
      </c>
      <c r="R76" s="12">
        <f>IF(P76=0,0,MAX(0,P76-'00_Parametres'!$B$23))</f>
      </c>
      <c r="S76" s="10"/>
      <c r="T76" s="10"/>
      <c r="U76" s="10"/>
    </row>
    <row r="77" spans="1:21" x14ac:dyDescent="0.25">
      <c r="A77" s="18"/>
      <c r="B77" s="18"/>
      <c r="C77" s="9">
        <f>IF(B77="","",IFERROR(VLOOKUP(B77,'01_Employes'!$A$6:$Q$30,4,FALSE),"⚠ ID inconnu"))</f>
      </c>
      <c r="D77" s="9">
        <f>IF(A77="","",TEXT(A77,"dddd"))</f>
      </c>
      <c r="E77" s="24">
        <f>IF(A77="","",IFERROR(INDEX('00_Parametres'!$C$7:$C$13,WEEKDAY(A77,2)),""))</f>
      </c>
      <c r="F77" s="24">
        <f>IF(A77="","",IFERROR(INDEX('00_Parametres'!$D$7:$D$13,WEEKDAY(A77,2)),""))</f>
      </c>
      <c r="G77" s="24">
        <f>IF(A77="","",IFERROR(INDEX('00_Parametres'!$E$7:$E$13,WEEKDAY(A77,2)),0))</f>
      </c>
      <c r="H77" s="11"/>
      <c r="I77" s="11"/>
      <c r="J77" s="11"/>
      <c r="K77" s="11"/>
      <c r="L77" s="12">
        <f>IF(OR(A77="",H77=""),"",IF(H77&lt;E77,IF(OR(J77="Oui",'00_Parametres'!$B$28="Oui"),H77,E77),H77))</f>
      </c>
      <c r="M77" s="12">
        <f>IF(OR(A77="",I77=""),"",IF(I77&gt;F77,IF(OR(K77="Oui",'00_Parametres'!$B$29="Oui"),I77,F77),I77))</f>
      </c>
      <c r="N77" s="25">
        <f>IF(OR(A77="",H77="",E77=""),0,MAX(0,ROUND((H77-E77)*1440,0)))</f>
      </c>
      <c r="O77" s="25">
        <f>IF(OR(A77="",I77="",F77=""),0,MAX(0,ROUND((F77-I77)*1440,0)))</f>
      </c>
      <c r="P77" s="12">
        <f>IF(OR(L77="",M77=""),0,MAX(0,ROUND((M77-L77)*24-G77,2)))</f>
      </c>
      <c r="Q77" s="12">
        <f>IF(P77=0,0,MIN(P77,'00_Parametres'!$B$23))</f>
      </c>
      <c r="R77" s="12">
        <f>IF(P77=0,0,MAX(0,P77-'00_Parametres'!$B$23))</f>
      </c>
      <c r="S77" s="10"/>
      <c r="T77" s="10"/>
      <c r="U77" s="10"/>
    </row>
    <row r="78" spans="1:21" x14ac:dyDescent="0.25">
      <c r="A78" s="18"/>
      <c r="B78" s="18"/>
      <c r="C78" s="9">
        <f>IF(B78="","",IFERROR(VLOOKUP(B78,'01_Employes'!$A$6:$Q$30,4,FALSE),"⚠ ID inconnu"))</f>
      </c>
      <c r="D78" s="9">
        <f>IF(A78="","",TEXT(A78,"dddd"))</f>
      </c>
      <c r="E78" s="24">
        <f>IF(A78="","",IFERROR(INDEX('00_Parametres'!$C$7:$C$13,WEEKDAY(A78,2)),""))</f>
      </c>
      <c r="F78" s="24">
        <f>IF(A78="","",IFERROR(INDEX('00_Parametres'!$D$7:$D$13,WEEKDAY(A78,2)),""))</f>
      </c>
      <c r="G78" s="24">
        <f>IF(A78="","",IFERROR(INDEX('00_Parametres'!$E$7:$E$13,WEEKDAY(A78,2)),0))</f>
      </c>
      <c r="H78" s="11"/>
      <c r="I78" s="11"/>
      <c r="J78" s="11"/>
      <c r="K78" s="11"/>
      <c r="L78" s="12">
        <f>IF(OR(A78="",H78=""),"",IF(H78&lt;E78,IF(OR(J78="Oui",'00_Parametres'!$B$28="Oui"),H78,E78),H78))</f>
      </c>
      <c r="M78" s="12">
        <f>IF(OR(A78="",I78=""),"",IF(I78&gt;F78,IF(OR(K78="Oui",'00_Parametres'!$B$29="Oui"),I78,F78),I78))</f>
      </c>
      <c r="N78" s="25">
        <f>IF(OR(A78="",H78="",E78=""),0,MAX(0,ROUND((H78-E78)*1440,0)))</f>
      </c>
      <c r="O78" s="25">
        <f>IF(OR(A78="",I78="",F78=""),0,MAX(0,ROUND((F78-I78)*1440,0)))</f>
      </c>
      <c r="P78" s="12">
        <f>IF(OR(L78="",M78=""),0,MAX(0,ROUND((M78-L78)*24-G78,2)))</f>
      </c>
      <c r="Q78" s="12">
        <f>IF(P78=0,0,MIN(P78,'00_Parametres'!$B$23))</f>
      </c>
      <c r="R78" s="12">
        <f>IF(P78=0,0,MAX(0,P78-'00_Parametres'!$B$23))</f>
      </c>
      <c r="S78" s="10"/>
      <c r="T78" s="10"/>
      <c r="U78" s="10"/>
    </row>
    <row r="79" spans="1:21" x14ac:dyDescent="0.25">
      <c r="A79" s="18"/>
      <c r="B79" s="18"/>
      <c r="C79" s="9">
        <f>IF(B79="","",IFERROR(VLOOKUP(B79,'01_Employes'!$A$6:$Q$30,4,FALSE),"⚠ ID inconnu"))</f>
      </c>
      <c r="D79" s="9">
        <f>IF(A79="","",TEXT(A79,"dddd"))</f>
      </c>
      <c r="E79" s="24">
        <f>IF(A79="","",IFERROR(INDEX('00_Parametres'!$C$7:$C$13,WEEKDAY(A79,2)),""))</f>
      </c>
      <c r="F79" s="24">
        <f>IF(A79="","",IFERROR(INDEX('00_Parametres'!$D$7:$D$13,WEEKDAY(A79,2)),""))</f>
      </c>
      <c r="G79" s="24">
        <f>IF(A79="","",IFERROR(INDEX('00_Parametres'!$E$7:$E$13,WEEKDAY(A79,2)),0))</f>
      </c>
      <c r="H79" s="11"/>
      <c r="I79" s="11"/>
      <c r="J79" s="11"/>
      <c r="K79" s="11"/>
      <c r="L79" s="12">
        <f>IF(OR(A79="",H79=""),"",IF(H79&lt;E79,IF(OR(J79="Oui",'00_Parametres'!$B$28="Oui"),H79,E79),H79))</f>
      </c>
      <c r="M79" s="12">
        <f>IF(OR(A79="",I79=""),"",IF(I79&gt;F79,IF(OR(K79="Oui",'00_Parametres'!$B$29="Oui"),I79,F79),I79))</f>
      </c>
      <c r="N79" s="25">
        <f>IF(OR(A79="",H79="",E79=""),0,MAX(0,ROUND((H79-E79)*1440,0)))</f>
      </c>
      <c r="O79" s="25">
        <f>IF(OR(A79="",I79="",F79=""),0,MAX(0,ROUND((F79-I79)*1440,0)))</f>
      </c>
      <c r="P79" s="12">
        <f>IF(OR(L79="",M79=""),0,MAX(0,ROUND((M79-L79)*24-G79,2)))</f>
      </c>
      <c r="Q79" s="12">
        <f>IF(P79=0,0,MIN(P79,'00_Parametres'!$B$23))</f>
      </c>
      <c r="R79" s="12">
        <f>IF(P79=0,0,MAX(0,P79-'00_Parametres'!$B$23))</f>
      </c>
      <c r="S79" s="10"/>
      <c r="T79" s="10"/>
      <c r="U79" s="10"/>
    </row>
    <row r="80" spans="1:21" x14ac:dyDescent="0.25">
      <c r="A80" s="18"/>
      <c r="B80" s="18"/>
      <c r="C80" s="9">
        <f>IF(B80="","",IFERROR(VLOOKUP(B80,'01_Employes'!$A$6:$Q$30,4,FALSE),"⚠ ID inconnu"))</f>
      </c>
      <c r="D80" s="9">
        <f>IF(A80="","",TEXT(A80,"dddd"))</f>
      </c>
      <c r="E80" s="24">
        <f>IF(A80="","",IFERROR(INDEX('00_Parametres'!$C$7:$C$13,WEEKDAY(A80,2)),""))</f>
      </c>
      <c r="F80" s="24">
        <f>IF(A80="","",IFERROR(INDEX('00_Parametres'!$D$7:$D$13,WEEKDAY(A80,2)),""))</f>
      </c>
      <c r="G80" s="24">
        <f>IF(A80="","",IFERROR(INDEX('00_Parametres'!$E$7:$E$13,WEEKDAY(A80,2)),0))</f>
      </c>
      <c r="H80" s="11"/>
      <c r="I80" s="11"/>
      <c r="J80" s="11"/>
      <c r="K80" s="11"/>
      <c r="L80" s="12">
        <f>IF(OR(A80="",H80=""),"",IF(H80&lt;E80,IF(OR(J80="Oui",'00_Parametres'!$B$28="Oui"),H80,E80),H80))</f>
      </c>
      <c r="M80" s="12">
        <f>IF(OR(A80="",I80=""),"",IF(I80&gt;F80,IF(OR(K80="Oui",'00_Parametres'!$B$29="Oui"),I80,F80),I80))</f>
      </c>
      <c r="N80" s="25">
        <f>IF(OR(A80="",H80="",E80=""),0,MAX(0,ROUND((H80-E80)*1440,0)))</f>
      </c>
      <c r="O80" s="25">
        <f>IF(OR(A80="",I80="",F80=""),0,MAX(0,ROUND((F80-I80)*1440,0)))</f>
      </c>
      <c r="P80" s="12">
        <f>IF(OR(L80="",M80=""),0,MAX(0,ROUND((M80-L80)*24-G80,2)))</f>
      </c>
      <c r="Q80" s="12">
        <f>IF(P80=0,0,MIN(P80,'00_Parametres'!$B$23))</f>
      </c>
      <c r="R80" s="12">
        <f>IF(P80=0,0,MAX(0,P80-'00_Parametres'!$B$23))</f>
      </c>
      <c r="S80" s="10"/>
      <c r="T80" s="10"/>
      <c r="U80" s="10"/>
    </row>
    <row r="81" spans="1:21" x14ac:dyDescent="0.25">
      <c r="A81" s="18"/>
      <c r="B81" s="18"/>
      <c r="C81" s="9">
        <f>IF(B81="","",IFERROR(VLOOKUP(B81,'01_Employes'!$A$6:$Q$30,4,FALSE),"⚠ ID inconnu"))</f>
      </c>
      <c r="D81" s="9">
        <f>IF(A81="","",TEXT(A81,"dddd"))</f>
      </c>
      <c r="E81" s="24">
        <f>IF(A81="","",IFERROR(INDEX('00_Parametres'!$C$7:$C$13,WEEKDAY(A81,2)),""))</f>
      </c>
      <c r="F81" s="24">
        <f>IF(A81="","",IFERROR(INDEX('00_Parametres'!$D$7:$D$13,WEEKDAY(A81,2)),""))</f>
      </c>
      <c r="G81" s="24">
        <f>IF(A81="","",IFERROR(INDEX('00_Parametres'!$E$7:$E$13,WEEKDAY(A81,2)),0))</f>
      </c>
      <c r="H81" s="11"/>
      <c r="I81" s="11"/>
      <c r="J81" s="11"/>
      <c r="K81" s="11"/>
      <c r="L81" s="12">
        <f>IF(OR(A81="",H81=""),"",IF(H81&lt;E81,IF(OR(J81="Oui",'00_Parametres'!$B$28="Oui"),H81,E81),H81))</f>
      </c>
      <c r="M81" s="12">
        <f>IF(OR(A81="",I81=""),"",IF(I81&gt;F81,IF(OR(K81="Oui",'00_Parametres'!$B$29="Oui"),I81,F81),I81))</f>
      </c>
      <c r="N81" s="25">
        <f>IF(OR(A81="",H81="",E81=""),0,MAX(0,ROUND((H81-E81)*1440,0)))</f>
      </c>
      <c r="O81" s="25">
        <f>IF(OR(A81="",I81="",F81=""),0,MAX(0,ROUND((F81-I81)*1440,0)))</f>
      </c>
      <c r="P81" s="12">
        <f>IF(OR(L81="",M81=""),0,MAX(0,ROUND((M81-L81)*24-G81,2)))</f>
      </c>
      <c r="Q81" s="12">
        <f>IF(P81=0,0,MIN(P81,'00_Parametres'!$B$23))</f>
      </c>
      <c r="R81" s="12">
        <f>IF(P81=0,0,MAX(0,P81-'00_Parametres'!$B$23))</f>
      </c>
      <c r="S81" s="10"/>
      <c r="T81" s="10"/>
      <c r="U81" s="10"/>
    </row>
    <row r="82" spans="1:21" x14ac:dyDescent="0.25">
      <c r="A82" s="18"/>
      <c r="B82" s="18"/>
      <c r="C82" s="9">
        <f>IF(B82="","",IFERROR(VLOOKUP(B82,'01_Employes'!$A$6:$Q$30,4,FALSE),"⚠ ID inconnu"))</f>
      </c>
      <c r="D82" s="9">
        <f>IF(A82="","",TEXT(A82,"dddd"))</f>
      </c>
      <c r="E82" s="24">
        <f>IF(A82="","",IFERROR(INDEX('00_Parametres'!$C$7:$C$13,WEEKDAY(A82,2)),""))</f>
      </c>
      <c r="F82" s="24">
        <f>IF(A82="","",IFERROR(INDEX('00_Parametres'!$D$7:$D$13,WEEKDAY(A82,2)),""))</f>
      </c>
      <c r="G82" s="24">
        <f>IF(A82="","",IFERROR(INDEX('00_Parametres'!$E$7:$E$13,WEEKDAY(A82,2)),0))</f>
      </c>
      <c r="H82" s="11"/>
      <c r="I82" s="11"/>
      <c r="J82" s="11"/>
      <c r="K82" s="11"/>
      <c r="L82" s="12">
        <f>IF(OR(A82="",H82=""),"",IF(H82&lt;E82,IF(OR(J82="Oui",'00_Parametres'!$B$28="Oui"),H82,E82),H82))</f>
      </c>
      <c r="M82" s="12">
        <f>IF(OR(A82="",I82=""),"",IF(I82&gt;F82,IF(OR(K82="Oui",'00_Parametres'!$B$29="Oui"),I82,F82),I82))</f>
      </c>
      <c r="N82" s="25">
        <f>IF(OR(A82="",H82="",E82=""),0,MAX(0,ROUND((H82-E82)*1440,0)))</f>
      </c>
      <c r="O82" s="25">
        <f>IF(OR(A82="",I82="",F82=""),0,MAX(0,ROUND((F82-I82)*1440,0)))</f>
      </c>
      <c r="P82" s="12">
        <f>IF(OR(L82="",M82=""),0,MAX(0,ROUND((M82-L82)*24-G82,2)))</f>
      </c>
      <c r="Q82" s="12">
        <f>IF(P82=0,0,MIN(P82,'00_Parametres'!$B$23))</f>
      </c>
      <c r="R82" s="12">
        <f>IF(P82=0,0,MAX(0,P82-'00_Parametres'!$B$23))</f>
      </c>
      <c r="S82" s="10"/>
      <c r="T82" s="10"/>
      <c r="U82" s="10"/>
    </row>
    <row r="83" spans="1:21" x14ac:dyDescent="0.25">
      <c r="A83" s="18"/>
      <c r="B83" s="18"/>
      <c r="C83" s="9">
        <f>IF(B83="","",IFERROR(VLOOKUP(B83,'01_Employes'!$A$6:$Q$30,4,FALSE),"⚠ ID inconnu"))</f>
      </c>
      <c r="D83" s="9">
        <f>IF(A83="","",TEXT(A83,"dddd"))</f>
      </c>
      <c r="E83" s="24">
        <f>IF(A83="","",IFERROR(INDEX('00_Parametres'!$C$7:$C$13,WEEKDAY(A83,2)),""))</f>
      </c>
      <c r="F83" s="24">
        <f>IF(A83="","",IFERROR(INDEX('00_Parametres'!$D$7:$D$13,WEEKDAY(A83,2)),""))</f>
      </c>
      <c r="G83" s="24">
        <f>IF(A83="","",IFERROR(INDEX('00_Parametres'!$E$7:$E$13,WEEKDAY(A83,2)),0))</f>
      </c>
      <c r="H83" s="11"/>
      <c r="I83" s="11"/>
      <c r="J83" s="11"/>
      <c r="K83" s="11"/>
      <c r="L83" s="12">
        <f>IF(OR(A83="",H83=""),"",IF(H83&lt;E83,IF(OR(J83="Oui",'00_Parametres'!$B$28="Oui"),H83,E83),H83))</f>
      </c>
      <c r="M83" s="12">
        <f>IF(OR(A83="",I83=""),"",IF(I83&gt;F83,IF(OR(K83="Oui",'00_Parametres'!$B$29="Oui"),I83,F83),I83))</f>
      </c>
      <c r="N83" s="25">
        <f>IF(OR(A83="",H83="",E83=""),0,MAX(0,ROUND((H83-E83)*1440,0)))</f>
      </c>
      <c r="O83" s="25">
        <f>IF(OR(A83="",I83="",F83=""),0,MAX(0,ROUND((F83-I83)*1440,0)))</f>
      </c>
      <c r="P83" s="12">
        <f>IF(OR(L83="",M83=""),0,MAX(0,ROUND((M83-L83)*24-G83,2)))</f>
      </c>
      <c r="Q83" s="12">
        <f>IF(P83=0,0,MIN(P83,'00_Parametres'!$B$23))</f>
      </c>
      <c r="R83" s="12">
        <f>IF(P83=0,0,MAX(0,P83-'00_Parametres'!$B$23))</f>
      </c>
      <c r="S83" s="10"/>
      <c r="T83" s="10"/>
      <c r="U83" s="10"/>
    </row>
    <row r="84" spans="1:21" x14ac:dyDescent="0.25">
      <c r="A84" s="18"/>
      <c r="B84" s="18"/>
      <c r="C84" s="9">
        <f>IF(B84="","",IFERROR(VLOOKUP(B84,'01_Employes'!$A$6:$Q$30,4,FALSE),"⚠ ID inconnu"))</f>
      </c>
      <c r="D84" s="9">
        <f>IF(A84="","",TEXT(A84,"dddd"))</f>
      </c>
      <c r="E84" s="24">
        <f>IF(A84="","",IFERROR(INDEX('00_Parametres'!$C$7:$C$13,WEEKDAY(A84,2)),""))</f>
      </c>
      <c r="F84" s="24">
        <f>IF(A84="","",IFERROR(INDEX('00_Parametres'!$D$7:$D$13,WEEKDAY(A84,2)),""))</f>
      </c>
      <c r="G84" s="24">
        <f>IF(A84="","",IFERROR(INDEX('00_Parametres'!$E$7:$E$13,WEEKDAY(A84,2)),0))</f>
      </c>
      <c r="H84" s="11"/>
      <c r="I84" s="11"/>
      <c r="J84" s="11"/>
      <c r="K84" s="11"/>
      <c r="L84" s="12">
        <f>IF(OR(A84="",H84=""),"",IF(H84&lt;E84,IF(OR(J84="Oui",'00_Parametres'!$B$28="Oui"),H84,E84),H84))</f>
      </c>
      <c r="M84" s="12">
        <f>IF(OR(A84="",I84=""),"",IF(I84&gt;F84,IF(OR(K84="Oui",'00_Parametres'!$B$29="Oui"),I84,F84),I84))</f>
      </c>
      <c r="N84" s="25">
        <f>IF(OR(A84="",H84="",E84=""),0,MAX(0,ROUND((H84-E84)*1440,0)))</f>
      </c>
      <c r="O84" s="25">
        <f>IF(OR(A84="",I84="",F84=""),0,MAX(0,ROUND((F84-I84)*1440,0)))</f>
      </c>
      <c r="P84" s="12">
        <f>IF(OR(L84="",M84=""),0,MAX(0,ROUND((M84-L84)*24-G84,2)))</f>
      </c>
      <c r="Q84" s="12">
        <f>IF(P84=0,0,MIN(P84,'00_Parametres'!$B$23))</f>
      </c>
      <c r="R84" s="12">
        <f>IF(P84=0,0,MAX(0,P84-'00_Parametres'!$B$23))</f>
      </c>
      <c r="S84" s="10"/>
      <c r="T84" s="10"/>
      <c r="U84" s="10"/>
    </row>
    <row r="85" spans="1:21" x14ac:dyDescent="0.25">
      <c r="A85" s="18"/>
      <c r="B85" s="18"/>
      <c r="C85" s="9">
        <f>IF(B85="","",IFERROR(VLOOKUP(B85,'01_Employes'!$A$6:$Q$30,4,FALSE),"⚠ ID inconnu"))</f>
      </c>
      <c r="D85" s="9">
        <f>IF(A85="","",TEXT(A85,"dddd"))</f>
      </c>
      <c r="E85" s="24">
        <f>IF(A85="","",IFERROR(INDEX('00_Parametres'!$C$7:$C$13,WEEKDAY(A85,2)),""))</f>
      </c>
      <c r="F85" s="24">
        <f>IF(A85="","",IFERROR(INDEX('00_Parametres'!$D$7:$D$13,WEEKDAY(A85,2)),""))</f>
      </c>
      <c r="G85" s="24">
        <f>IF(A85="","",IFERROR(INDEX('00_Parametres'!$E$7:$E$13,WEEKDAY(A85,2)),0))</f>
      </c>
      <c r="H85" s="11"/>
      <c r="I85" s="11"/>
      <c r="J85" s="11"/>
      <c r="K85" s="11"/>
      <c r="L85" s="12">
        <f>IF(OR(A85="",H85=""),"",IF(H85&lt;E85,IF(OR(J85="Oui",'00_Parametres'!$B$28="Oui"),H85,E85),H85))</f>
      </c>
      <c r="M85" s="12">
        <f>IF(OR(A85="",I85=""),"",IF(I85&gt;F85,IF(OR(K85="Oui",'00_Parametres'!$B$29="Oui"),I85,F85),I85))</f>
      </c>
      <c r="N85" s="25">
        <f>IF(OR(A85="",H85="",E85=""),0,MAX(0,ROUND((H85-E85)*1440,0)))</f>
      </c>
      <c r="O85" s="25">
        <f>IF(OR(A85="",I85="",F85=""),0,MAX(0,ROUND((F85-I85)*1440,0)))</f>
      </c>
      <c r="P85" s="12">
        <f>IF(OR(L85="",M85=""),0,MAX(0,ROUND((M85-L85)*24-G85,2)))</f>
      </c>
      <c r="Q85" s="12">
        <f>IF(P85=0,0,MIN(P85,'00_Parametres'!$B$23))</f>
      </c>
      <c r="R85" s="12">
        <f>IF(P85=0,0,MAX(0,P85-'00_Parametres'!$B$23))</f>
      </c>
      <c r="S85" s="10"/>
      <c r="T85" s="10"/>
      <c r="U85" s="10"/>
    </row>
    <row r="86" spans="1:21" x14ac:dyDescent="0.25">
      <c r="A86" s="18"/>
      <c r="B86" s="18"/>
      <c r="C86" s="9">
        <f>IF(B86="","",IFERROR(VLOOKUP(B86,'01_Employes'!$A$6:$Q$30,4,FALSE),"⚠ ID inconnu"))</f>
      </c>
      <c r="D86" s="9">
        <f>IF(A86="","",TEXT(A86,"dddd"))</f>
      </c>
      <c r="E86" s="24">
        <f>IF(A86="","",IFERROR(INDEX('00_Parametres'!$C$7:$C$13,WEEKDAY(A86,2)),""))</f>
      </c>
      <c r="F86" s="24">
        <f>IF(A86="","",IFERROR(INDEX('00_Parametres'!$D$7:$D$13,WEEKDAY(A86,2)),""))</f>
      </c>
      <c r="G86" s="24">
        <f>IF(A86="","",IFERROR(INDEX('00_Parametres'!$E$7:$E$13,WEEKDAY(A86,2)),0))</f>
      </c>
      <c r="H86" s="11"/>
      <c r="I86" s="11"/>
      <c r="J86" s="11"/>
      <c r="K86" s="11"/>
      <c r="L86" s="12">
        <f>IF(OR(A86="",H86=""),"",IF(H86&lt;E86,IF(OR(J86="Oui",'00_Parametres'!$B$28="Oui"),H86,E86),H86))</f>
      </c>
      <c r="M86" s="12">
        <f>IF(OR(A86="",I86=""),"",IF(I86&gt;F86,IF(OR(K86="Oui",'00_Parametres'!$B$29="Oui"),I86,F86),I86))</f>
      </c>
      <c r="N86" s="25">
        <f>IF(OR(A86="",H86="",E86=""),0,MAX(0,ROUND((H86-E86)*1440,0)))</f>
      </c>
      <c r="O86" s="25">
        <f>IF(OR(A86="",I86="",F86=""),0,MAX(0,ROUND((F86-I86)*1440,0)))</f>
      </c>
      <c r="P86" s="12">
        <f>IF(OR(L86="",M86=""),0,MAX(0,ROUND((M86-L86)*24-G86,2)))</f>
      </c>
      <c r="Q86" s="12">
        <f>IF(P86=0,0,MIN(P86,'00_Parametres'!$B$23))</f>
      </c>
      <c r="R86" s="12">
        <f>IF(P86=0,0,MAX(0,P86-'00_Parametres'!$B$23))</f>
      </c>
      <c r="S86" s="10"/>
      <c r="T86" s="10"/>
      <c r="U86" s="10"/>
    </row>
    <row r="87" spans="1:21" x14ac:dyDescent="0.25">
      <c r="A87" s="18"/>
      <c r="B87" s="18"/>
      <c r="C87" s="9">
        <f>IF(B87="","",IFERROR(VLOOKUP(B87,'01_Employes'!$A$6:$Q$30,4,FALSE),"⚠ ID inconnu"))</f>
      </c>
      <c r="D87" s="9">
        <f>IF(A87="","",TEXT(A87,"dddd"))</f>
      </c>
      <c r="E87" s="24">
        <f>IF(A87="","",IFERROR(INDEX('00_Parametres'!$C$7:$C$13,WEEKDAY(A87,2)),""))</f>
      </c>
      <c r="F87" s="24">
        <f>IF(A87="","",IFERROR(INDEX('00_Parametres'!$D$7:$D$13,WEEKDAY(A87,2)),""))</f>
      </c>
      <c r="G87" s="24">
        <f>IF(A87="","",IFERROR(INDEX('00_Parametres'!$E$7:$E$13,WEEKDAY(A87,2)),0))</f>
      </c>
      <c r="H87" s="11"/>
      <c r="I87" s="11"/>
      <c r="J87" s="11"/>
      <c r="K87" s="11"/>
      <c r="L87" s="12">
        <f>IF(OR(A87="",H87=""),"",IF(H87&lt;E87,IF(OR(J87="Oui",'00_Parametres'!$B$28="Oui"),H87,E87),H87))</f>
      </c>
      <c r="M87" s="12">
        <f>IF(OR(A87="",I87=""),"",IF(I87&gt;F87,IF(OR(K87="Oui",'00_Parametres'!$B$29="Oui"),I87,F87),I87))</f>
      </c>
      <c r="N87" s="25">
        <f>IF(OR(A87="",H87="",E87=""),0,MAX(0,ROUND((H87-E87)*1440,0)))</f>
      </c>
      <c r="O87" s="25">
        <f>IF(OR(A87="",I87="",F87=""),0,MAX(0,ROUND((F87-I87)*1440,0)))</f>
      </c>
      <c r="P87" s="12">
        <f>IF(OR(L87="",M87=""),0,MAX(0,ROUND((M87-L87)*24-G87,2)))</f>
      </c>
      <c r="Q87" s="12">
        <f>IF(P87=0,0,MIN(P87,'00_Parametres'!$B$23))</f>
      </c>
      <c r="R87" s="12">
        <f>IF(P87=0,0,MAX(0,P87-'00_Parametres'!$B$23))</f>
      </c>
      <c r="S87" s="10"/>
      <c r="T87" s="10"/>
      <c r="U87" s="10"/>
    </row>
    <row r="88" spans="1:21" x14ac:dyDescent="0.25">
      <c r="A88" s="18"/>
      <c r="B88" s="18"/>
      <c r="C88" s="9">
        <f>IF(B88="","",IFERROR(VLOOKUP(B88,'01_Employes'!$A$6:$Q$30,4,FALSE),"⚠ ID inconnu"))</f>
      </c>
      <c r="D88" s="9">
        <f>IF(A88="","",TEXT(A88,"dddd"))</f>
      </c>
      <c r="E88" s="24">
        <f>IF(A88="","",IFERROR(INDEX('00_Parametres'!$C$7:$C$13,WEEKDAY(A88,2)),""))</f>
      </c>
      <c r="F88" s="24">
        <f>IF(A88="","",IFERROR(INDEX('00_Parametres'!$D$7:$D$13,WEEKDAY(A88,2)),""))</f>
      </c>
      <c r="G88" s="24">
        <f>IF(A88="","",IFERROR(INDEX('00_Parametres'!$E$7:$E$13,WEEKDAY(A88,2)),0))</f>
      </c>
      <c r="H88" s="11"/>
      <c r="I88" s="11"/>
      <c r="J88" s="11"/>
      <c r="K88" s="11"/>
      <c r="L88" s="12">
        <f>IF(OR(A88="",H88=""),"",IF(H88&lt;E88,IF(OR(J88="Oui",'00_Parametres'!$B$28="Oui"),H88,E88),H88))</f>
      </c>
      <c r="M88" s="12">
        <f>IF(OR(A88="",I88=""),"",IF(I88&gt;F88,IF(OR(K88="Oui",'00_Parametres'!$B$29="Oui"),I88,F88),I88))</f>
      </c>
      <c r="N88" s="25">
        <f>IF(OR(A88="",H88="",E88=""),0,MAX(0,ROUND((H88-E88)*1440,0)))</f>
      </c>
      <c r="O88" s="25">
        <f>IF(OR(A88="",I88="",F88=""),0,MAX(0,ROUND((F88-I88)*1440,0)))</f>
      </c>
      <c r="P88" s="12">
        <f>IF(OR(L88="",M88=""),0,MAX(0,ROUND((M88-L88)*24-G88,2)))</f>
      </c>
      <c r="Q88" s="12">
        <f>IF(P88=0,0,MIN(P88,'00_Parametres'!$B$23))</f>
      </c>
      <c r="R88" s="12">
        <f>IF(P88=0,0,MAX(0,P88-'00_Parametres'!$B$23))</f>
      </c>
      <c r="S88" s="10"/>
      <c r="T88" s="10"/>
      <c r="U88" s="10"/>
    </row>
    <row r="89" spans="1:21" x14ac:dyDescent="0.25">
      <c r="A89" s="18"/>
      <c r="B89" s="18"/>
      <c r="C89" s="9">
        <f>IF(B89="","",IFERROR(VLOOKUP(B89,'01_Employes'!$A$6:$Q$30,4,FALSE),"⚠ ID inconnu"))</f>
      </c>
      <c r="D89" s="9">
        <f>IF(A89="","",TEXT(A89,"dddd"))</f>
      </c>
      <c r="E89" s="24">
        <f>IF(A89="","",IFERROR(INDEX('00_Parametres'!$C$7:$C$13,WEEKDAY(A89,2)),""))</f>
      </c>
      <c r="F89" s="24">
        <f>IF(A89="","",IFERROR(INDEX('00_Parametres'!$D$7:$D$13,WEEKDAY(A89,2)),""))</f>
      </c>
      <c r="G89" s="24">
        <f>IF(A89="","",IFERROR(INDEX('00_Parametres'!$E$7:$E$13,WEEKDAY(A89,2)),0))</f>
      </c>
      <c r="H89" s="11"/>
      <c r="I89" s="11"/>
      <c r="J89" s="11"/>
      <c r="K89" s="11"/>
      <c r="L89" s="12">
        <f>IF(OR(A89="",H89=""),"",IF(H89&lt;E89,IF(OR(J89="Oui",'00_Parametres'!$B$28="Oui"),H89,E89),H89))</f>
      </c>
      <c r="M89" s="12">
        <f>IF(OR(A89="",I89=""),"",IF(I89&gt;F89,IF(OR(K89="Oui",'00_Parametres'!$B$29="Oui"),I89,F89),I89))</f>
      </c>
      <c r="N89" s="25">
        <f>IF(OR(A89="",H89="",E89=""),0,MAX(0,ROUND((H89-E89)*1440,0)))</f>
      </c>
      <c r="O89" s="25">
        <f>IF(OR(A89="",I89="",F89=""),0,MAX(0,ROUND((F89-I89)*1440,0)))</f>
      </c>
      <c r="P89" s="12">
        <f>IF(OR(L89="",M89=""),0,MAX(0,ROUND((M89-L89)*24-G89,2)))</f>
      </c>
      <c r="Q89" s="12">
        <f>IF(P89=0,0,MIN(P89,'00_Parametres'!$B$23))</f>
      </c>
      <c r="R89" s="12">
        <f>IF(P89=0,0,MAX(0,P89-'00_Parametres'!$B$23))</f>
      </c>
      <c r="S89" s="10"/>
      <c r="T89" s="10"/>
      <c r="U89" s="10"/>
    </row>
    <row r="90" spans="1:21" x14ac:dyDescent="0.25">
      <c r="A90" s="18"/>
      <c r="B90" s="18"/>
      <c r="C90" s="9">
        <f>IF(B90="","",IFERROR(VLOOKUP(B90,'01_Employes'!$A$6:$Q$30,4,FALSE),"⚠ ID inconnu"))</f>
      </c>
      <c r="D90" s="9">
        <f>IF(A90="","",TEXT(A90,"dddd"))</f>
      </c>
      <c r="E90" s="24">
        <f>IF(A90="","",IFERROR(INDEX('00_Parametres'!$C$7:$C$13,WEEKDAY(A90,2)),""))</f>
      </c>
      <c r="F90" s="24">
        <f>IF(A90="","",IFERROR(INDEX('00_Parametres'!$D$7:$D$13,WEEKDAY(A90,2)),""))</f>
      </c>
      <c r="G90" s="24">
        <f>IF(A90="","",IFERROR(INDEX('00_Parametres'!$E$7:$E$13,WEEKDAY(A90,2)),0))</f>
      </c>
      <c r="H90" s="11"/>
      <c r="I90" s="11"/>
      <c r="J90" s="11"/>
      <c r="K90" s="11"/>
      <c r="L90" s="12">
        <f>IF(OR(A90="",H90=""),"",IF(H90&lt;E90,IF(OR(J90="Oui",'00_Parametres'!$B$28="Oui"),H90,E90),H90))</f>
      </c>
      <c r="M90" s="12">
        <f>IF(OR(A90="",I90=""),"",IF(I90&gt;F90,IF(OR(K90="Oui",'00_Parametres'!$B$29="Oui"),I90,F90),I90))</f>
      </c>
      <c r="N90" s="25">
        <f>IF(OR(A90="",H90="",E90=""),0,MAX(0,ROUND((H90-E90)*1440,0)))</f>
      </c>
      <c r="O90" s="25">
        <f>IF(OR(A90="",I90="",F90=""),0,MAX(0,ROUND((F90-I90)*1440,0)))</f>
      </c>
      <c r="P90" s="12">
        <f>IF(OR(L90="",M90=""),0,MAX(0,ROUND((M90-L90)*24-G90,2)))</f>
      </c>
      <c r="Q90" s="12">
        <f>IF(P90=0,0,MIN(P90,'00_Parametres'!$B$23))</f>
      </c>
      <c r="R90" s="12">
        <f>IF(P90=0,0,MAX(0,P90-'00_Parametres'!$B$23))</f>
      </c>
      <c r="S90" s="10"/>
      <c r="T90" s="10"/>
      <c r="U90" s="10"/>
    </row>
    <row r="91" spans="1:21" x14ac:dyDescent="0.25">
      <c r="A91" s="18"/>
      <c r="B91" s="18"/>
      <c r="C91" s="9">
        <f>IF(B91="","",IFERROR(VLOOKUP(B91,'01_Employes'!$A$6:$Q$30,4,FALSE),"⚠ ID inconnu"))</f>
      </c>
      <c r="D91" s="9">
        <f>IF(A91="","",TEXT(A91,"dddd"))</f>
      </c>
      <c r="E91" s="24">
        <f>IF(A91="","",IFERROR(INDEX('00_Parametres'!$C$7:$C$13,WEEKDAY(A91,2)),""))</f>
      </c>
      <c r="F91" s="24">
        <f>IF(A91="","",IFERROR(INDEX('00_Parametres'!$D$7:$D$13,WEEKDAY(A91,2)),""))</f>
      </c>
      <c r="G91" s="24">
        <f>IF(A91="","",IFERROR(INDEX('00_Parametres'!$E$7:$E$13,WEEKDAY(A91,2)),0))</f>
      </c>
      <c r="H91" s="11"/>
      <c r="I91" s="11"/>
      <c r="J91" s="11"/>
      <c r="K91" s="11"/>
      <c r="L91" s="12">
        <f>IF(OR(A91="",H91=""),"",IF(H91&lt;E91,IF(OR(J91="Oui",'00_Parametres'!$B$28="Oui"),H91,E91),H91))</f>
      </c>
      <c r="M91" s="12">
        <f>IF(OR(A91="",I91=""),"",IF(I91&gt;F91,IF(OR(K91="Oui",'00_Parametres'!$B$29="Oui"),I91,F91),I91))</f>
      </c>
      <c r="N91" s="25">
        <f>IF(OR(A91="",H91="",E91=""),0,MAX(0,ROUND((H91-E91)*1440,0)))</f>
      </c>
      <c r="O91" s="25">
        <f>IF(OR(A91="",I91="",F91=""),0,MAX(0,ROUND((F91-I91)*1440,0)))</f>
      </c>
      <c r="P91" s="12">
        <f>IF(OR(L91="",M91=""),0,MAX(0,ROUND((M91-L91)*24-G91,2)))</f>
      </c>
      <c r="Q91" s="12">
        <f>IF(P91=0,0,MIN(P91,'00_Parametres'!$B$23))</f>
      </c>
      <c r="R91" s="12">
        <f>IF(P91=0,0,MAX(0,P91-'00_Parametres'!$B$23))</f>
      </c>
      <c r="S91" s="10"/>
      <c r="T91" s="10"/>
      <c r="U91" s="10"/>
    </row>
    <row r="92" spans="1:21" x14ac:dyDescent="0.25">
      <c r="A92" s="18"/>
      <c r="B92" s="18"/>
      <c r="C92" s="9">
        <f>IF(B92="","",IFERROR(VLOOKUP(B92,'01_Employes'!$A$6:$Q$30,4,FALSE),"⚠ ID inconnu"))</f>
      </c>
      <c r="D92" s="9">
        <f>IF(A92="","",TEXT(A92,"dddd"))</f>
      </c>
      <c r="E92" s="24">
        <f>IF(A92="","",IFERROR(INDEX('00_Parametres'!$C$7:$C$13,WEEKDAY(A92,2)),""))</f>
      </c>
      <c r="F92" s="24">
        <f>IF(A92="","",IFERROR(INDEX('00_Parametres'!$D$7:$D$13,WEEKDAY(A92,2)),""))</f>
      </c>
      <c r="G92" s="24">
        <f>IF(A92="","",IFERROR(INDEX('00_Parametres'!$E$7:$E$13,WEEKDAY(A92,2)),0))</f>
      </c>
      <c r="H92" s="11"/>
      <c r="I92" s="11"/>
      <c r="J92" s="11"/>
      <c r="K92" s="11"/>
      <c r="L92" s="12">
        <f>IF(OR(A92="",H92=""),"",IF(H92&lt;E92,IF(OR(J92="Oui",'00_Parametres'!$B$28="Oui"),H92,E92),H92))</f>
      </c>
      <c r="M92" s="12">
        <f>IF(OR(A92="",I92=""),"",IF(I92&gt;F92,IF(OR(K92="Oui",'00_Parametres'!$B$29="Oui"),I92,F92),I92))</f>
      </c>
      <c r="N92" s="25">
        <f>IF(OR(A92="",H92="",E92=""),0,MAX(0,ROUND((H92-E92)*1440,0)))</f>
      </c>
      <c r="O92" s="25">
        <f>IF(OR(A92="",I92="",F92=""),0,MAX(0,ROUND((F92-I92)*1440,0)))</f>
      </c>
      <c r="P92" s="12">
        <f>IF(OR(L92="",M92=""),0,MAX(0,ROUND((M92-L92)*24-G92,2)))</f>
      </c>
      <c r="Q92" s="12">
        <f>IF(P92=0,0,MIN(P92,'00_Parametres'!$B$23))</f>
      </c>
      <c r="R92" s="12">
        <f>IF(P92=0,0,MAX(0,P92-'00_Parametres'!$B$23))</f>
      </c>
      <c r="S92" s="10"/>
      <c r="T92" s="10"/>
      <c r="U92" s="10"/>
    </row>
    <row r="93" spans="1:21" x14ac:dyDescent="0.25">
      <c r="A93" s="18"/>
      <c r="B93" s="18"/>
      <c r="C93" s="9">
        <f>IF(B93="","",IFERROR(VLOOKUP(B93,'01_Employes'!$A$6:$Q$30,4,FALSE),"⚠ ID inconnu"))</f>
      </c>
      <c r="D93" s="9">
        <f>IF(A93="","",TEXT(A93,"dddd"))</f>
      </c>
      <c r="E93" s="24">
        <f>IF(A93="","",IFERROR(INDEX('00_Parametres'!$C$7:$C$13,WEEKDAY(A93,2)),""))</f>
      </c>
      <c r="F93" s="24">
        <f>IF(A93="","",IFERROR(INDEX('00_Parametres'!$D$7:$D$13,WEEKDAY(A93,2)),""))</f>
      </c>
      <c r="G93" s="24">
        <f>IF(A93="","",IFERROR(INDEX('00_Parametres'!$E$7:$E$13,WEEKDAY(A93,2)),0))</f>
      </c>
      <c r="H93" s="11"/>
      <c r="I93" s="11"/>
      <c r="J93" s="11"/>
      <c r="K93" s="11"/>
      <c r="L93" s="12">
        <f>IF(OR(A93="",H93=""),"",IF(H93&lt;E93,IF(OR(J93="Oui",'00_Parametres'!$B$28="Oui"),H93,E93),H93))</f>
      </c>
      <c r="M93" s="12">
        <f>IF(OR(A93="",I93=""),"",IF(I93&gt;F93,IF(OR(K93="Oui",'00_Parametres'!$B$29="Oui"),I93,F93),I93))</f>
      </c>
      <c r="N93" s="25">
        <f>IF(OR(A93="",H93="",E93=""),0,MAX(0,ROUND((H93-E93)*1440,0)))</f>
      </c>
      <c r="O93" s="25">
        <f>IF(OR(A93="",I93="",F93=""),0,MAX(0,ROUND((F93-I93)*1440,0)))</f>
      </c>
      <c r="P93" s="12">
        <f>IF(OR(L93="",M93=""),0,MAX(0,ROUND((M93-L93)*24-G93,2)))</f>
      </c>
      <c r="Q93" s="12">
        <f>IF(P93=0,0,MIN(P93,'00_Parametres'!$B$23))</f>
      </c>
      <c r="R93" s="12">
        <f>IF(P93=0,0,MAX(0,P93-'00_Parametres'!$B$23))</f>
      </c>
      <c r="S93" s="10"/>
      <c r="T93" s="10"/>
      <c r="U93" s="10"/>
    </row>
    <row r="94" spans="1:21" x14ac:dyDescent="0.25">
      <c r="A94" s="18"/>
      <c r="B94" s="18"/>
      <c r="C94" s="9">
        <f>IF(B94="","",IFERROR(VLOOKUP(B94,'01_Employes'!$A$6:$Q$30,4,FALSE),"⚠ ID inconnu"))</f>
      </c>
      <c r="D94" s="9">
        <f>IF(A94="","",TEXT(A94,"dddd"))</f>
      </c>
      <c r="E94" s="24">
        <f>IF(A94="","",IFERROR(INDEX('00_Parametres'!$C$7:$C$13,WEEKDAY(A94,2)),""))</f>
      </c>
      <c r="F94" s="24">
        <f>IF(A94="","",IFERROR(INDEX('00_Parametres'!$D$7:$D$13,WEEKDAY(A94,2)),""))</f>
      </c>
      <c r="G94" s="24">
        <f>IF(A94="","",IFERROR(INDEX('00_Parametres'!$E$7:$E$13,WEEKDAY(A94,2)),0))</f>
      </c>
      <c r="H94" s="11"/>
      <c r="I94" s="11"/>
      <c r="J94" s="11"/>
      <c r="K94" s="11"/>
      <c r="L94" s="12">
        <f>IF(OR(A94="",H94=""),"",IF(H94&lt;E94,IF(OR(J94="Oui",'00_Parametres'!$B$28="Oui"),H94,E94),H94))</f>
      </c>
      <c r="M94" s="12">
        <f>IF(OR(A94="",I94=""),"",IF(I94&gt;F94,IF(OR(K94="Oui",'00_Parametres'!$B$29="Oui"),I94,F94),I94))</f>
      </c>
      <c r="N94" s="25">
        <f>IF(OR(A94="",H94="",E94=""),0,MAX(0,ROUND((H94-E94)*1440,0)))</f>
      </c>
      <c r="O94" s="25">
        <f>IF(OR(A94="",I94="",F94=""),0,MAX(0,ROUND((F94-I94)*1440,0)))</f>
      </c>
      <c r="P94" s="12">
        <f>IF(OR(L94="",M94=""),0,MAX(0,ROUND((M94-L94)*24-G94,2)))</f>
      </c>
      <c r="Q94" s="12">
        <f>IF(P94=0,0,MIN(P94,'00_Parametres'!$B$23))</f>
      </c>
      <c r="R94" s="12">
        <f>IF(P94=0,0,MAX(0,P94-'00_Parametres'!$B$23))</f>
      </c>
      <c r="S94" s="10"/>
      <c r="T94" s="10"/>
      <c r="U94" s="10"/>
    </row>
    <row r="95" spans="1:21" x14ac:dyDescent="0.25">
      <c r="A95" s="18"/>
      <c r="B95" s="18"/>
      <c r="C95" s="9">
        <f>IF(B95="","",IFERROR(VLOOKUP(B95,'01_Employes'!$A$6:$Q$30,4,FALSE),"⚠ ID inconnu"))</f>
      </c>
      <c r="D95" s="9">
        <f>IF(A95="","",TEXT(A95,"dddd"))</f>
      </c>
      <c r="E95" s="24">
        <f>IF(A95="","",IFERROR(INDEX('00_Parametres'!$C$7:$C$13,WEEKDAY(A95,2)),""))</f>
      </c>
      <c r="F95" s="24">
        <f>IF(A95="","",IFERROR(INDEX('00_Parametres'!$D$7:$D$13,WEEKDAY(A95,2)),""))</f>
      </c>
      <c r="G95" s="24">
        <f>IF(A95="","",IFERROR(INDEX('00_Parametres'!$E$7:$E$13,WEEKDAY(A95,2)),0))</f>
      </c>
      <c r="H95" s="11"/>
      <c r="I95" s="11"/>
      <c r="J95" s="11"/>
      <c r="K95" s="11"/>
      <c r="L95" s="12">
        <f>IF(OR(A95="",H95=""),"",IF(H95&lt;E95,IF(OR(J95="Oui",'00_Parametres'!$B$28="Oui"),H95,E95),H95))</f>
      </c>
      <c r="M95" s="12">
        <f>IF(OR(A95="",I95=""),"",IF(I95&gt;F95,IF(OR(K95="Oui",'00_Parametres'!$B$29="Oui"),I95,F95),I95))</f>
      </c>
      <c r="N95" s="25">
        <f>IF(OR(A95="",H95="",E95=""),0,MAX(0,ROUND((H95-E95)*1440,0)))</f>
      </c>
      <c r="O95" s="25">
        <f>IF(OR(A95="",I95="",F95=""),0,MAX(0,ROUND((F95-I95)*1440,0)))</f>
      </c>
      <c r="P95" s="12">
        <f>IF(OR(L95="",M95=""),0,MAX(0,ROUND((M95-L95)*24-G95,2)))</f>
      </c>
      <c r="Q95" s="12">
        <f>IF(P95=0,0,MIN(P95,'00_Parametres'!$B$23))</f>
      </c>
      <c r="R95" s="12">
        <f>IF(P95=0,0,MAX(0,P95-'00_Parametres'!$B$23))</f>
      </c>
      <c r="S95" s="10"/>
      <c r="T95" s="10"/>
      <c r="U95" s="10"/>
    </row>
    <row r="96" spans="1:21" x14ac:dyDescent="0.25">
      <c r="A96" s="18"/>
      <c r="B96" s="18"/>
      <c r="C96" s="9">
        <f>IF(B96="","",IFERROR(VLOOKUP(B96,'01_Employes'!$A$6:$Q$30,4,FALSE),"⚠ ID inconnu"))</f>
      </c>
      <c r="D96" s="9">
        <f>IF(A96="","",TEXT(A96,"dddd"))</f>
      </c>
      <c r="E96" s="24">
        <f>IF(A96="","",IFERROR(INDEX('00_Parametres'!$C$7:$C$13,WEEKDAY(A96,2)),""))</f>
      </c>
      <c r="F96" s="24">
        <f>IF(A96="","",IFERROR(INDEX('00_Parametres'!$D$7:$D$13,WEEKDAY(A96,2)),""))</f>
      </c>
      <c r="G96" s="24">
        <f>IF(A96="","",IFERROR(INDEX('00_Parametres'!$E$7:$E$13,WEEKDAY(A96,2)),0))</f>
      </c>
      <c r="H96" s="11"/>
      <c r="I96" s="11"/>
      <c r="J96" s="11"/>
      <c r="K96" s="11"/>
      <c r="L96" s="12">
        <f>IF(OR(A96="",H96=""),"",IF(H96&lt;E96,IF(OR(J96="Oui",'00_Parametres'!$B$28="Oui"),H96,E96),H96))</f>
      </c>
      <c r="M96" s="12">
        <f>IF(OR(A96="",I96=""),"",IF(I96&gt;F96,IF(OR(K96="Oui",'00_Parametres'!$B$29="Oui"),I96,F96),I96))</f>
      </c>
      <c r="N96" s="25">
        <f>IF(OR(A96="",H96="",E96=""),0,MAX(0,ROUND((H96-E96)*1440,0)))</f>
      </c>
      <c r="O96" s="25">
        <f>IF(OR(A96="",I96="",F96=""),0,MAX(0,ROUND((F96-I96)*1440,0)))</f>
      </c>
      <c r="P96" s="12">
        <f>IF(OR(L96="",M96=""),0,MAX(0,ROUND((M96-L96)*24-G96,2)))</f>
      </c>
      <c r="Q96" s="12">
        <f>IF(P96=0,0,MIN(P96,'00_Parametres'!$B$23))</f>
      </c>
      <c r="R96" s="12">
        <f>IF(P96=0,0,MAX(0,P96-'00_Parametres'!$B$23))</f>
      </c>
      <c r="S96" s="10"/>
      <c r="T96" s="10"/>
      <c r="U96" s="10"/>
    </row>
    <row r="97" spans="1:21" x14ac:dyDescent="0.25">
      <c r="A97" s="18"/>
      <c r="B97" s="18"/>
      <c r="C97" s="9">
        <f>IF(B97="","",IFERROR(VLOOKUP(B97,'01_Employes'!$A$6:$Q$30,4,FALSE),"⚠ ID inconnu"))</f>
      </c>
      <c r="D97" s="9">
        <f>IF(A97="","",TEXT(A97,"dddd"))</f>
      </c>
      <c r="E97" s="24">
        <f>IF(A97="","",IFERROR(INDEX('00_Parametres'!$C$7:$C$13,WEEKDAY(A97,2)),""))</f>
      </c>
      <c r="F97" s="24">
        <f>IF(A97="","",IFERROR(INDEX('00_Parametres'!$D$7:$D$13,WEEKDAY(A97,2)),""))</f>
      </c>
      <c r="G97" s="24">
        <f>IF(A97="","",IFERROR(INDEX('00_Parametres'!$E$7:$E$13,WEEKDAY(A97,2)),0))</f>
      </c>
      <c r="H97" s="11"/>
      <c r="I97" s="11"/>
      <c r="J97" s="11"/>
      <c r="K97" s="11"/>
      <c r="L97" s="12">
        <f>IF(OR(A97="",H97=""),"",IF(H97&lt;E97,IF(OR(J97="Oui",'00_Parametres'!$B$28="Oui"),H97,E97),H97))</f>
      </c>
      <c r="M97" s="12">
        <f>IF(OR(A97="",I97=""),"",IF(I97&gt;F97,IF(OR(K97="Oui",'00_Parametres'!$B$29="Oui"),I97,F97),I97))</f>
      </c>
      <c r="N97" s="25">
        <f>IF(OR(A97="",H97="",E97=""),0,MAX(0,ROUND((H97-E97)*1440,0)))</f>
      </c>
      <c r="O97" s="25">
        <f>IF(OR(A97="",I97="",F97=""),0,MAX(0,ROUND((F97-I97)*1440,0)))</f>
      </c>
      <c r="P97" s="12">
        <f>IF(OR(L97="",M97=""),0,MAX(0,ROUND((M97-L97)*24-G97,2)))</f>
      </c>
      <c r="Q97" s="12">
        <f>IF(P97=0,0,MIN(P97,'00_Parametres'!$B$23))</f>
      </c>
      <c r="R97" s="12">
        <f>IF(P97=0,0,MAX(0,P97-'00_Parametres'!$B$23))</f>
      </c>
      <c r="S97" s="10"/>
      <c r="T97" s="10"/>
      <c r="U97" s="10"/>
    </row>
    <row r="98" spans="1:21" x14ac:dyDescent="0.25">
      <c r="A98" s="18"/>
      <c r="B98" s="18"/>
      <c r="C98" s="9">
        <f>IF(B98="","",IFERROR(VLOOKUP(B98,'01_Employes'!$A$6:$Q$30,4,FALSE),"⚠ ID inconnu"))</f>
      </c>
      <c r="D98" s="9">
        <f>IF(A98="","",TEXT(A98,"dddd"))</f>
      </c>
      <c r="E98" s="24">
        <f>IF(A98="","",IFERROR(INDEX('00_Parametres'!$C$7:$C$13,WEEKDAY(A98,2)),""))</f>
      </c>
      <c r="F98" s="24">
        <f>IF(A98="","",IFERROR(INDEX('00_Parametres'!$D$7:$D$13,WEEKDAY(A98,2)),""))</f>
      </c>
      <c r="G98" s="24">
        <f>IF(A98="","",IFERROR(INDEX('00_Parametres'!$E$7:$E$13,WEEKDAY(A98,2)),0))</f>
      </c>
      <c r="H98" s="11"/>
      <c r="I98" s="11"/>
      <c r="J98" s="11"/>
      <c r="K98" s="11"/>
      <c r="L98" s="12">
        <f>IF(OR(A98="",H98=""),"",IF(H98&lt;E98,IF(OR(J98="Oui",'00_Parametres'!$B$28="Oui"),H98,E98),H98))</f>
      </c>
      <c r="M98" s="12">
        <f>IF(OR(A98="",I98=""),"",IF(I98&gt;F98,IF(OR(K98="Oui",'00_Parametres'!$B$29="Oui"),I98,F98),I98))</f>
      </c>
      <c r="N98" s="25">
        <f>IF(OR(A98="",H98="",E98=""),0,MAX(0,ROUND((H98-E98)*1440,0)))</f>
      </c>
      <c r="O98" s="25">
        <f>IF(OR(A98="",I98="",F98=""),0,MAX(0,ROUND((F98-I98)*1440,0)))</f>
      </c>
      <c r="P98" s="12">
        <f>IF(OR(L98="",M98=""),0,MAX(0,ROUND((M98-L98)*24-G98,2)))</f>
      </c>
      <c r="Q98" s="12">
        <f>IF(P98=0,0,MIN(P98,'00_Parametres'!$B$23))</f>
      </c>
      <c r="R98" s="12">
        <f>IF(P98=0,0,MAX(0,P98-'00_Parametres'!$B$23))</f>
      </c>
      <c r="S98" s="10"/>
      <c r="T98" s="10"/>
      <c r="U98" s="10"/>
    </row>
    <row r="99" spans="1:21" x14ac:dyDescent="0.25">
      <c r="A99" s="18"/>
      <c r="B99" s="18"/>
      <c r="C99" s="9">
        <f>IF(B99="","",IFERROR(VLOOKUP(B99,'01_Employes'!$A$6:$Q$30,4,FALSE),"⚠ ID inconnu"))</f>
      </c>
      <c r="D99" s="9">
        <f>IF(A99="","",TEXT(A99,"dddd"))</f>
      </c>
      <c r="E99" s="24">
        <f>IF(A99="","",IFERROR(INDEX('00_Parametres'!$C$7:$C$13,WEEKDAY(A99,2)),""))</f>
      </c>
      <c r="F99" s="24">
        <f>IF(A99="","",IFERROR(INDEX('00_Parametres'!$D$7:$D$13,WEEKDAY(A99,2)),""))</f>
      </c>
      <c r="G99" s="24">
        <f>IF(A99="","",IFERROR(INDEX('00_Parametres'!$E$7:$E$13,WEEKDAY(A99,2)),0))</f>
      </c>
      <c r="H99" s="11"/>
      <c r="I99" s="11"/>
      <c r="J99" s="11"/>
      <c r="K99" s="11"/>
      <c r="L99" s="12">
        <f>IF(OR(A99="",H99=""),"",IF(H99&lt;E99,IF(OR(J99="Oui",'00_Parametres'!$B$28="Oui"),H99,E99),H99))</f>
      </c>
      <c r="M99" s="12">
        <f>IF(OR(A99="",I99=""),"",IF(I99&gt;F99,IF(OR(K99="Oui",'00_Parametres'!$B$29="Oui"),I99,F99),I99))</f>
      </c>
      <c r="N99" s="25">
        <f>IF(OR(A99="",H99="",E99=""),0,MAX(0,ROUND((H99-E99)*1440,0)))</f>
      </c>
      <c r="O99" s="25">
        <f>IF(OR(A99="",I99="",F99=""),0,MAX(0,ROUND((F99-I99)*1440,0)))</f>
      </c>
      <c r="P99" s="12">
        <f>IF(OR(L99="",M99=""),0,MAX(0,ROUND((M99-L99)*24-G99,2)))</f>
      </c>
      <c r="Q99" s="12">
        <f>IF(P99=0,0,MIN(P99,'00_Parametres'!$B$23))</f>
      </c>
      <c r="R99" s="12">
        <f>IF(P99=0,0,MAX(0,P99-'00_Parametres'!$B$23))</f>
      </c>
      <c r="S99" s="10"/>
      <c r="T99" s="10"/>
      <c r="U99" s="10"/>
    </row>
    <row r="100" spans="1:21" x14ac:dyDescent="0.25">
      <c r="A100" s="18"/>
      <c r="B100" s="18"/>
      <c r="C100" s="9">
        <f>IF(B100="","",IFERROR(VLOOKUP(B100,'01_Employes'!$A$6:$Q$30,4,FALSE),"⚠ ID inconnu"))</f>
      </c>
      <c r="D100" s="9">
        <f>IF(A100="","",TEXT(A100,"dddd"))</f>
      </c>
      <c r="E100" s="24">
        <f>IF(A100="","",IFERROR(INDEX('00_Parametres'!$C$7:$C$13,WEEKDAY(A100,2)),""))</f>
      </c>
      <c r="F100" s="24">
        <f>IF(A100="","",IFERROR(INDEX('00_Parametres'!$D$7:$D$13,WEEKDAY(A100,2)),""))</f>
      </c>
      <c r="G100" s="24">
        <f>IF(A100="","",IFERROR(INDEX('00_Parametres'!$E$7:$E$13,WEEKDAY(A100,2)),0))</f>
      </c>
      <c r="H100" s="11"/>
      <c r="I100" s="11"/>
      <c r="J100" s="11"/>
      <c r="K100" s="11"/>
      <c r="L100" s="12">
        <f>IF(OR(A100="",H100=""),"",IF(H100&lt;E100,IF(OR(J100="Oui",'00_Parametres'!$B$28="Oui"),H100,E100),H100))</f>
      </c>
      <c r="M100" s="12">
        <f>IF(OR(A100="",I100=""),"",IF(I100&gt;F100,IF(OR(K100="Oui",'00_Parametres'!$B$29="Oui"),I100,F100),I100))</f>
      </c>
      <c r="N100" s="25">
        <f>IF(OR(A100="",H100="",E100=""),0,MAX(0,ROUND((H100-E100)*1440,0)))</f>
      </c>
      <c r="O100" s="25">
        <f>IF(OR(A100="",I100="",F100=""),0,MAX(0,ROUND((F100-I100)*1440,0)))</f>
      </c>
      <c r="P100" s="12">
        <f>IF(OR(L100="",M100=""),0,MAX(0,ROUND((M100-L100)*24-G100,2)))</f>
      </c>
      <c r="Q100" s="12">
        <f>IF(P100=0,0,MIN(P100,'00_Parametres'!$B$23))</f>
      </c>
      <c r="R100" s="12">
        <f>IF(P100=0,0,MAX(0,P100-'00_Parametres'!$B$23))</f>
      </c>
      <c r="S100" s="10"/>
      <c r="T100" s="10"/>
      <c r="U100" s="10"/>
    </row>
    <row r="101" spans="1:21" x14ac:dyDescent="0.25">
      <c r="A101" s="18"/>
      <c r="B101" s="18"/>
      <c r="C101" s="9">
        <f>IF(B101="","",IFERROR(VLOOKUP(B101,'01_Employes'!$A$6:$Q$30,4,FALSE),"⚠ ID inconnu"))</f>
      </c>
      <c r="D101" s="9">
        <f>IF(A101="","",TEXT(A101,"dddd"))</f>
      </c>
      <c r="E101" s="24">
        <f>IF(A101="","",IFERROR(INDEX('00_Parametres'!$C$7:$C$13,WEEKDAY(A101,2)),""))</f>
      </c>
      <c r="F101" s="24">
        <f>IF(A101="","",IFERROR(INDEX('00_Parametres'!$D$7:$D$13,WEEKDAY(A101,2)),""))</f>
      </c>
      <c r="G101" s="24">
        <f>IF(A101="","",IFERROR(INDEX('00_Parametres'!$E$7:$E$13,WEEKDAY(A101,2)),0))</f>
      </c>
      <c r="H101" s="11"/>
      <c r="I101" s="11"/>
      <c r="J101" s="11"/>
      <c r="K101" s="11"/>
      <c r="L101" s="12">
        <f>IF(OR(A101="",H101=""),"",IF(H101&lt;E101,IF(OR(J101="Oui",'00_Parametres'!$B$28="Oui"),H101,E101),H101))</f>
      </c>
      <c r="M101" s="12">
        <f>IF(OR(A101="",I101=""),"",IF(I101&gt;F101,IF(OR(K101="Oui",'00_Parametres'!$B$29="Oui"),I101,F101),I101))</f>
      </c>
      <c r="N101" s="25">
        <f>IF(OR(A101="",H101="",E101=""),0,MAX(0,ROUND((H101-E101)*1440,0)))</f>
      </c>
      <c r="O101" s="25">
        <f>IF(OR(A101="",I101="",F101=""),0,MAX(0,ROUND((F101-I101)*1440,0)))</f>
      </c>
      <c r="P101" s="12">
        <f>IF(OR(L101="",M101=""),0,MAX(0,ROUND((M101-L101)*24-G101,2)))</f>
      </c>
      <c r="Q101" s="12">
        <f>IF(P101=0,0,MIN(P101,'00_Parametres'!$B$23))</f>
      </c>
      <c r="R101" s="12">
        <f>IF(P101=0,0,MAX(0,P101-'00_Parametres'!$B$23))</f>
      </c>
      <c r="S101" s="10"/>
      <c r="T101" s="10"/>
      <c r="U101" s="10"/>
    </row>
    <row r="102" spans="1:21" x14ac:dyDescent="0.25">
      <c r="A102" s="18"/>
      <c r="B102" s="18"/>
      <c r="C102" s="9">
        <f>IF(B102="","",IFERROR(VLOOKUP(B102,'01_Employes'!$A$6:$Q$30,4,FALSE),"⚠ ID inconnu"))</f>
      </c>
      <c r="D102" s="9">
        <f>IF(A102="","",TEXT(A102,"dddd"))</f>
      </c>
      <c r="E102" s="24">
        <f>IF(A102="","",IFERROR(INDEX('00_Parametres'!$C$7:$C$13,WEEKDAY(A102,2)),""))</f>
      </c>
      <c r="F102" s="24">
        <f>IF(A102="","",IFERROR(INDEX('00_Parametres'!$D$7:$D$13,WEEKDAY(A102,2)),""))</f>
      </c>
      <c r="G102" s="24">
        <f>IF(A102="","",IFERROR(INDEX('00_Parametres'!$E$7:$E$13,WEEKDAY(A102,2)),0))</f>
      </c>
      <c r="H102" s="11"/>
      <c r="I102" s="11"/>
      <c r="J102" s="11"/>
      <c r="K102" s="11"/>
      <c r="L102" s="12">
        <f>IF(OR(A102="",H102=""),"",IF(H102&lt;E102,IF(OR(J102="Oui",'00_Parametres'!$B$28="Oui"),H102,E102),H102))</f>
      </c>
      <c r="M102" s="12">
        <f>IF(OR(A102="",I102=""),"",IF(I102&gt;F102,IF(OR(K102="Oui",'00_Parametres'!$B$29="Oui"),I102,F102),I102))</f>
      </c>
      <c r="N102" s="25">
        <f>IF(OR(A102="",H102="",E102=""),0,MAX(0,ROUND((H102-E102)*1440,0)))</f>
      </c>
      <c r="O102" s="25">
        <f>IF(OR(A102="",I102="",F102=""),0,MAX(0,ROUND((F102-I102)*1440,0)))</f>
      </c>
      <c r="P102" s="12">
        <f>IF(OR(L102="",M102=""),0,MAX(0,ROUND((M102-L102)*24-G102,2)))</f>
      </c>
      <c r="Q102" s="12">
        <f>IF(P102=0,0,MIN(P102,'00_Parametres'!$B$23))</f>
      </c>
      <c r="R102" s="12">
        <f>IF(P102=0,0,MAX(0,P102-'00_Parametres'!$B$23))</f>
      </c>
      <c r="S102" s="10"/>
      <c r="T102" s="10"/>
      <c r="U102" s="10"/>
    </row>
    <row r="103" spans="1:21" x14ac:dyDescent="0.25">
      <c r="A103" s="18"/>
      <c r="B103" s="18"/>
      <c r="C103" s="9">
        <f>IF(B103="","",IFERROR(VLOOKUP(B103,'01_Employes'!$A$6:$Q$30,4,FALSE),"⚠ ID inconnu"))</f>
      </c>
      <c r="D103" s="9">
        <f>IF(A103="","",TEXT(A103,"dddd"))</f>
      </c>
      <c r="E103" s="24">
        <f>IF(A103="","",IFERROR(INDEX('00_Parametres'!$C$7:$C$13,WEEKDAY(A103,2)),""))</f>
      </c>
      <c r="F103" s="24">
        <f>IF(A103="","",IFERROR(INDEX('00_Parametres'!$D$7:$D$13,WEEKDAY(A103,2)),""))</f>
      </c>
      <c r="G103" s="24">
        <f>IF(A103="","",IFERROR(INDEX('00_Parametres'!$E$7:$E$13,WEEKDAY(A103,2)),0))</f>
      </c>
      <c r="H103" s="11"/>
      <c r="I103" s="11"/>
      <c r="J103" s="11"/>
      <c r="K103" s="11"/>
      <c r="L103" s="12">
        <f>IF(OR(A103="",H103=""),"",IF(H103&lt;E103,IF(OR(J103="Oui",'00_Parametres'!$B$28="Oui"),H103,E103),H103))</f>
      </c>
      <c r="M103" s="12">
        <f>IF(OR(A103="",I103=""),"",IF(I103&gt;F103,IF(OR(K103="Oui",'00_Parametres'!$B$29="Oui"),I103,F103),I103))</f>
      </c>
      <c r="N103" s="25">
        <f>IF(OR(A103="",H103="",E103=""),0,MAX(0,ROUND((H103-E103)*1440,0)))</f>
      </c>
      <c r="O103" s="25">
        <f>IF(OR(A103="",I103="",F103=""),0,MAX(0,ROUND((F103-I103)*1440,0)))</f>
      </c>
      <c r="P103" s="12">
        <f>IF(OR(L103="",M103=""),0,MAX(0,ROUND((M103-L103)*24-G103,2)))</f>
      </c>
      <c r="Q103" s="12">
        <f>IF(P103=0,0,MIN(P103,'00_Parametres'!$B$23))</f>
      </c>
      <c r="R103" s="12">
        <f>IF(P103=0,0,MAX(0,P103-'00_Parametres'!$B$23))</f>
      </c>
      <c r="S103" s="10"/>
      <c r="T103" s="10"/>
      <c r="U103" s="10"/>
    </row>
    <row r="104" spans="1:21" x14ac:dyDescent="0.25">
      <c r="A104" s="18"/>
      <c r="B104" s="18"/>
      <c r="C104" s="9">
        <f>IF(B104="","",IFERROR(VLOOKUP(B104,'01_Employes'!$A$6:$Q$30,4,FALSE),"⚠ ID inconnu"))</f>
      </c>
      <c r="D104" s="9">
        <f>IF(A104="","",TEXT(A104,"dddd"))</f>
      </c>
      <c r="E104" s="24">
        <f>IF(A104="","",IFERROR(INDEX('00_Parametres'!$C$7:$C$13,WEEKDAY(A104,2)),""))</f>
      </c>
      <c r="F104" s="24">
        <f>IF(A104="","",IFERROR(INDEX('00_Parametres'!$D$7:$D$13,WEEKDAY(A104,2)),""))</f>
      </c>
      <c r="G104" s="24">
        <f>IF(A104="","",IFERROR(INDEX('00_Parametres'!$E$7:$E$13,WEEKDAY(A104,2)),0))</f>
      </c>
      <c r="H104" s="11"/>
      <c r="I104" s="11"/>
      <c r="J104" s="11"/>
      <c r="K104" s="11"/>
      <c r="L104" s="12">
        <f>IF(OR(A104="",H104=""),"",IF(H104&lt;E104,IF(OR(J104="Oui",'00_Parametres'!$B$28="Oui"),H104,E104),H104))</f>
      </c>
      <c r="M104" s="12">
        <f>IF(OR(A104="",I104=""),"",IF(I104&gt;F104,IF(OR(K104="Oui",'00_Parametres'!$B$29="Oui"),I104,F104),I104))</f>
      </c>
      <c r="N104" s="25">
        <f>IF(OR(A104="",H104="",E104=""),0,MAX(0,ROUND((H104-E104)*1440,0)))</f>
      </c>
      <c r="O104" s="25">
        <f>IF(OR(A104="",I104="",F104=""),0,MAX(0,ROUND((F104-I104)*1440,0)))</f>
      </c>
      <c r="P104" s="12">
        <f>IF(OR(L104="",M104=""),0,MAX(0,ROUND((M104-L104)*24-G104,2)))</f>
      </c>
      <c r="Q104" s="12">
        <f>IF(P104=0,0,MIN(P104,'00_Parametres'!$B$23))</f>
      </c>
      <c r="R104" s="12">
        <f>IF(P104=0,0,MAX(0,P104-'00_Parametres'!$B$23))</f>
      </c>
      <c r="S104" s="10"/>
      <c r="T104" s="10"/>
      <c r="U104" s="10"/>
    </row>
    <row r="105" spans="1:21" x14ac:dyDescent="0.25">
      <c r="A105" s="18"/>
      <c r="B105" s="18"/>
      <c r="C105" s="9">
        <f>IF(B105="","",IFERROR(VLOOKUP(B105,'01_Employes'!$A$6:$Q$30,4,FALSE),"⚠ ID inconnu"))</f>
      </c>
      <c r="D105" s="9">
        <f>IF(A105="","",TEXT(A105,"dddd"))</f>
      </c>
      <c r="E105" s="24">
        <f>IF(A105="","",IFERROR(INDEX('00_Parametres'!$C$7:$C$13,WEEKDAY(A105,2)),""))</f>
      </c>
      <c r="F105" s="24">
        <f>IF(A105="","",IFERROR(INDEX('00_Parametres'!$D$7:$D$13,WEEKDAY(A105,2)),""))</f>
      </c>
      <c r="G105" s="24">
        <f>IF(A105="","",IFERROR(INDEX('00_Parametres'!$E$7:$E$13,WEEKDAY(A105,2)),0))</f>
      </c>
      <c r="H105" s="11"/>
      <c r="I105" s="11"/>
      <c r="J105" s="11"/>
      <c r="K105" s="11"/>
      <c r="L105" s="12">
        <f>IF(OR(A105="",H105=""),"",IF(H105&lt;E105,IF(OR(J105="Oui",'00_Parametres'!$B$28="Oui"),H105,E105),H105))</f>
      </c>
      <c r="M105" s="12">
        <f>IF(OR(A105="",I105=""),"",IF(I105&gt;F105,IF(OR(K105="Oui",'00_Parametres'!$B$29="Oui"),I105,F105),I105))</f>
      </c>
      <c r="N105" s="25">
        <f>IF(OR(A105="",H105="",E105=""),0,MAX(0,ROUND((H105-E105)*1440,0)))</f>
      </c>
      <c r="O105" s="25">
        <f>IF(OR(A105="",I105="",F105=""),0,MAX(0,ROUND((F105-I105)*1440,0)))</f>
      </c>
      <c r="P105" s="12">
        <f>IF(OR(L105="",M105=""),0,MAX(0,ROUND((M105-L105)*24-G105,2)))</f>
      </c>
      <c r="Q105" s="12">
        <f>IF(P105=0,0,MIN(P105,'00_Parametres'!$B$23))</f>
      </c>
      <c r="R105" s="12">
        <f>IF(P105=0,0,MAX(0,P105-'00_Parametres'!$B$23))</f>
      </c>
      <c r="S105" s="10"/>
      <c r="T105" s="10"/>
      <c r="U105" s="10"/>
    </row>
    <row r="106" spans="1:21" x14ac:dyDescent="0.25">
      <c r="A106" s="18"/>
      <c r="B106" s="18"/>
      <c r="C106" s="9">
        <f>IF(B106="","",IFERROR(VLOOKUP(B106,'01_Employes'!$A$6:$Q$30,4,FALSE),"⚠ ID inconnu"))</f>
      </c>
      <c r="D106" s="9">
        <f>IF(A106="","",TEXT(A106,"dddd"))</f>
      </c>
      <c r="E106" s="24">
        <f>IF(A106="","",IFERROR(INDEX('00_Parametres'!$C$7:$C$13,WEEKDAY(A106,2)),""))</f>
      </c>
      <c r="F106" s="24">
        <f>IF(A106="","",IFERROR(INDEX('00_Parametres'!$D$7:$D$13,WEEKDAY(A106,2)),""))</f>
      </c>
      <c r="G106" s="24">
        <f>IF(A106="","",IFERROR(INDEX('00_Parametres'!$E$7:$E$13,WEEKDAY(A106,2)),0))</f>
      </c>
      <c r="H106" s="11"/>
      <c r="I106" s="11"/>
      <c r="J106" s="11"/>
      <c r="K106" s="11"/>
      <c r="L106" s="12">
        <f>IF(OR(A106="",H106=""),"",IF(H106&lt;E106,IF(OR(J106="Oui",'00_Parametres'!$B$28="Oui"),H106,E106),H106))</f>
      </c>
      <c r="M106" s="12">
        <f>IF(OR(A106="",I106=""),"",IF(I106&gt;F106,IF(OR(K106="Oui",'00_Parametres'!$B$29="Oui"),I106,F106),I106))</f>
      </c>
      <c r="N106" s="25">
        <f>IF(OR(A106="",H106="",E106=""),0,MAX(0,ROUND((H106-E106)*1440,0)))</f>
      </c>
      <c r="O106" s="25">
        <f>IF(OR(A106="",I106="",F106=""),0,MAX(0,ROUND((F106-I106)*1440,0)))</f>
      </c>
      <c r="P106" s="12">
        <f>IF(OR(L106="",M106=""),0,MAX(0,ROUND((M106-L106)*24-G106,2)))</f>
      </c>
      <c r="Q106" s="12">
        <f>IF(P106=0,0,MIN(P106,'00_Parametres'!$B$23))</f>
      </c>
      <c r="R106" s="12">
        <f>IF(P106=0,0,MAX(0,P106-'00_Parametres'!$B$23))</f>
      </c>
      <c r="S106" s="10"/>
      <c r="T106" s="10"/>
      <c r="U106" s="10"/>
    </row>
    <row r="107" spans="1:21" x14ac:dyDescent="0.25">
      <c r="A107" s="18"/>
      <c r="B107" s="18"/>
      <c r="C107" s="9">
        <f>IF(B107="","",IFERROR(VLOOKUP(B107,'01_Employes'!$A$6:$Q$30,4,FALSE),"⚠ ID inconnu"))</f>
      </c>
      <c r="D107" s="9">
        <f>IF(A107="","",TEXT(A107,"dddd"))</f>
      </c>
      <c r="E107" s="24">
        <f>IF(A107="","",IFERROR(INDEX('00_Parametres'!$C$7:$C$13,WEEKDAY(A107,2)),""))</f>
      </c>
      <c r="F107" s="24">
        <f>IF(A107="","",IFERROR(INDEX('00_Parametres'!$D$7:$D$13,WEEKDAY(A107,2)),""))</f>
      </c>
      <c r="G107" s="24">
        <f>IF(A107="","",IFERROR(INDEX('00_Parametres'!$E$7:$E$13,WEEKDAY(A107,2)),0))</f>
      </c>
      <c r="H107" s="11"/>
      <c r="I107" s="11"/>
      <c r="J107" s="11"/>
      <c r="K107" s="11"/>
      <c r="L107" s="12">
        <f>IF(OR(A107="",H107=""),"",IF(H107&lt;E107,IF(OR(J107="Oui",'00_Parametres'!$B$28="Oui"),H107,E107),H107))</f>
      </c>
      <c r="M107" s="12">
        <f>IF(OR(A107="",I107=""),"",IF(I107&gt;F107,IF(OR(K107="Oui",'00_Parametres'!$B$29="Oui"),I107,F107),I107))</f>
      </c>
      <c r="N107" s="25">
        <f>IF(OR(A107="",H107="",E107=""),0,MAX(0,ROUND((H107-E107)*1440,0)))</f>
      </c>
      <c r="O107" s="25">
        <f>IF(OR(A107="",I107="",F107=""),0,MAX(0,ROUND((F107-I107)*1440,0)))</f>
      </c>
      <c r="P107" s="12">
        <f>IF(OR(L107="",M107=""),0,MAX(0,ROUND((M107-L107)*24-G107,2)))</f>
      </c>
      <c r="Q107" s="12">
        <f>IF(P107=0,0,MIN(P107,'00_Parametres'!$B$23))</f>
      </c>
      <c r="R107" s="12">
        <f>IF(P107=0,0,MAX(0,P107-'00_Parametres'!$B$23))</f>
      </c>
      <c r="S107" s="10"/>
      <c r="T107" s="10"/>
      <c r="U107" s="10"/>
    </row>
    <row r="108" spans="1:21" x14ac:dyDescent="0.25">
      <c r="A108" s="18"/>
      <c r="B108" s="18"/>
      <c r="C108" s="9">
        <f>IF(B108="","",IFERROR(VLOOKUP(B108,'01_Employes'!$A$6:$Q$30,4,FALSE),"⚠ ID inconnu"))</f>
      </c>
      <c r="D108" s="9">
        <f>IF(A108="","",TEXT(A108,"dddd"))</f>
      </c>
      <c r="E108" s="24">
        <f>IF(A108="","",IFERROR(INDEX('00_Parametres'!$C$7:$C$13,WEEKDAY(A108,2)),""))</f>
      </c>
      <c r="F108" s="24">
        <f>IF(A108="","",IFERROR(INDEX('00_Parametres'!$D$7:$D$13,WEEKDAY(A108,2)),""))</f>
      </c>
      <c r="G108" s="24">
        <f>IF(A108="","",IFERROR(INDEX('00_Parametres'!$E$7:$E$13,WEEKDAY(A108,2)),0))</f>
      </c>
      <c r="H108" s="11"/>
      <c r="I108" s="11"/>
      <c r="J108" s="11"/>
      <c r="K108" s="11"/>
      <c r="L108" s="12">
        <f>IF(OR(A108="",H108=""),"",IF(H108&lt;E108,IF(OR(J108="Oui",'00_Parametres'!$B$28="Oui"),H108,E108),H108))</f>
      </c>
      <c r="M108" s="12">
        <f>IF(OR(A108="",I108=""),"",IF(I108&gt;F108,IF(OR(K108="Oui",'00_Parametres'!$B$29="Oui"),I108,F108),I108))</f>
      </c>
      <c r="N108" s="25">
        <f>IF(OR(A108="",H108="",E108=""),0,MAX(0,ROUND((H108-E108)*1440,0)))</f>
      </c>
      <c r="O108" s="25">
        <f>IF(OR(A108="",I108="",F108=""),0,MAX(0,ROUND((F108-I108)*1440,0)))</f>
      </c>
      <c r="P108" s="12">
        <f>IF(OR(L108="",M108=""),0,MAX(0,ROUND((M108-L108)*24-G108,2)))</f>
      </c>
      <c r="Q108" s="12">
        <f>IF(P108=0,0,MIN(P108,'00_Parametres'!$B$23))</f>
      </c>
      <c r="R108" s="12">
        <f>IF(P108=0,0,MAX(0,P108-'00_Parametres'!$B$23))</f>
      </c>
      <c r="S108" s="10"/>
      <c r="T108" s="10"/>
      <c r="U108" s="10"/>
    </row>
    <row r="109" spans="1:21" x14ac:dyDescent="0.25">
      <c r="A109" s="18"/>
      <c r="B109" s="18"/>
      <c r="C109" s="9">
        <f>IF(B109="","",IFERROR(VLOOKUP(B109,'01_Employes'!$A$6:$Q$30,4,FALSE),"⚠ ID inconnu"))</f>
      </c>
      <c r="D109" s="9">
        <f>IF(A109="","",TEXT(A109,"dddd"))</f>
      </c>
      <c r="E109" s="24">
        <f>IF(A109="","",IFERROR(INDEX('00_Parametres'!$C$7:$C$13,WEEKDAY(A109,2)),""))</f>
      </c>
      <c r="F109" s="24">
        <f>IF(A109="","",IFERROR(INDEX('00_Parametres'!$D$7:$D$13,WEEKDAY(A109,2)),""))</f>
      </c>
      <c r="G109" s="24">
        <f>IF(A109="","",IFERROR(INDEX('00_Parametres'!$E$7:$E$13,WEEKDAY(A109,2)),0))</f>
      </c>
      <c r="H109" s="11"/>
      <c r="I109" s="11"/>
      <c r="J109" s="11"/>
      <c r="K109" s="11"/>
      <c r="L109" s="12">
        <f>IF(OR(A109="",H109=""),"",IF(H109&lt;E109,IF(OR(J109="Oui",'00_Parametres'!$B$28="Oui"),H109,E109),H109))</f>
      </c>
      <c r="M109" s="12">
        <f>IF(OR(A109="",I109=""),"",IF(I109&gt;F109,IF(OR(K109="Oui",'00_Parametres'!$B$29="Oui"),I109,F109),I109))</f>
      </c>
      <c r="N109" s="25">
        <f>IF(OR(A109="",H109="",E109=""),0,MAX(0,ROUND((H109-E109)*1440,0)))</f>
      </c>
      <c r="O109" s="25">
        <f>IF(OR(A109="",I109="",F109=""),0,MAX(0,ROUND((F109-I109)*1440,0)))</f>
      </c>
      <c r="P109" s="12">
        <f>IF(OR(L109="",M109=""),0,MAX(0,ROUND((M109-L109)*24-G109,2)))</f>
      </c>
      <c r="Q109" s="12">
        <f>IF(P109=0,0,MIN(P109,'00_Parametres'!$B$23))</f>
      </c>
      <c r="R109" s="12">
        <f>IF(P109=0,0,MAX(0,P109-'00_Parametres'!$B$23))</f>
      </c>
      <c r="S109" s="10"/>
      <c r="T109" s="10"/>
      <c r="U109" s="10"/>
    </row>
    <row r="110" spans="1:21" x14ac:dyDescent="0.25">
      <c r="A110" s="18"/>
      <c r="B110" s="18"/>
      <c r="C110" s="9">
        <f>IF(B110="","",IFERROR(VLOOKUP(B110,'01_Employes'!$A$6:$Q$30,4,FALSE),"⚠ ID inconnu"))</f>
      </c>
      <c r="D110" s="9">
        <f>IF(A110="","",TEXT(A110,"dddd"))</f>
      </c>
      <c r="E110" s="24">
        <f>IF(A110="","",IFERROR(INDEX('00_Parametres'!$C$7:$C$13,WEEKDAY(A110,2)),""))</f>
      </c>
      <c r="F110" s="24">
        <f>IF(A110="","",IFERROR(INDEX('00_Parametres'!$D$7:$D$13,WEEKDAY(A110,2)),""))</f>
      </c>
      <c r="G110" s="24">
        <f>IF(A110="","",IFERROR(INDEX('00_Parametres'!$E$7:$E$13,WEEKDAY(A110,2)),0))</f>
      </c>
      <c r="H110" s="11"/>
      <c r="I110" s="11"/>
      <c r="J110" s="11"/>
      <c r="K110" s="11"/>
      <c r="L110" s="12">
        <f>IF(OR(A110="",H110=""),"",IF(H110&lt;E110,IF(OR(J110="Oui",'00_Parametres'!$B$28="Oui"),H110,E110),H110))</f>
      </c>
      <c r="M110" s="12">
        <f>IF(OR(A110="",I110=""),"",IF(I110&gt;F110,IF(OR(K110="Oui",'00_Parametres'!$B$29="Oui"),I110,F110),I110))</f>
      </c>
      <c r="N110" s="25">
        <f>IF(OR(A110="",H110="",E110=""),0,MAX(0,ROUND((H110-E110)*1440,0)))</f>
      </c>
      <c r="O110" s="25">
        <f>IF(OR(A110="",I110="",F110=""),0,MAX(0,ROUND((F110-I110)*1440,0)))</f>
      </c>
      <c r="P110" s="12">
        <f>IF(OR(L110="",M110=""),0,MAX(0,ROUND((M110-L110)*24-G110,2)))</f>
      </c>
      <c r="Q110" s="12">
        <f>IF(P110=0,0,MIN(P110,'00_Parametres'!$B$23))</f>
      </c>
      <c r="R110" s="12">
        <f>IF(P110=0,0,MAX(0,P110-'00_Parametres'!$B$23))</f>
      </c>
      <c r="S110" s="10"/>
      <c r="T110" s="10"/>
      <c r="U110" s="10"/>
    </row>
    <row r="111" spans="1:21" x14ac:dyDescent="0.25">
      <c r="A111" s="18"/>
      <c r="B111" s="18"/>
      <c r="C111" s="9">
        <f>IF(B111="","",IFERROR(VLOOKUP(B111,'01_Employes'!$A$6:$Q$30,4,FALSE),"⚠ ID inconnu"))</f>
      </c>
      <c r="D111" s="9">
        <f>IF(A111="","",TEXT(A111,"dddd"))</f>
      </c>
      <c r="E111" s="24">
        <f>IF(A111="","",IFERROR(INDEX('00_Parametres'!$C$7:$C$13,WEEKDAY(A111,2)),""))</f>
      </c>
      <c r="F111" s="24">
        <f>IF(A111="","",IFERROR(INDEX('00_Parametres'!$D$7:$D$13,WEEKDAY(A111,2)),""))</f>
      </c>
      <c r="G111" s="24">
        <f>IF(A111="","",IFERROR(INDEX('00_Parametres'!$E$7:$E$13,WEEKDAY(A111,2)),0))</f>
      </c>
      <c r="H111" s="11"/>
      <c r="I111" s="11"/>
      <c r="J111" s="11"/>
      <c r="K111" s="11"/>
      <c r="L111" s="12">
        <f>IF(OR(A111="",H111=""),"",IF(H111&lt;E111,IF(OR(J111="Oui",'00_Parametres'!$B$28="Oui"),H111,E111),H111))</f>
      </c>
      <c r="M111" s="12">
        <f>IF(OR(A111="",I111=""),"",IF(I111&gt;F111,IF(OR(K111="Oui",'00_Parametres'!$B$29="Oui"),I111,F111),I111))</f>
      </c>
      <c r="N111" s="25">
        <f>IF(OR(A111="",H111="",E111=""),0,MAX(0,ROUND((H111-E111)*1440,0)))</f>
      </c>
      <c r="O111" s="25">
        <f>IF(OR(A111="",I111="",F111=""),0,MAX(0,ROUND((F111-I111)*1440,0)))</f>
      </c>
      <c r="P111" s="12">
        <f>IF(OR(L111="",M111=""),0,MAX(0,ROUND((M111-L111)*24-G111,2)))</f>
      </c>
      <c r="Q111" s="12">
        <f>IF(P111=0,0,MIN(P111,'00_Parametres'!$B$23))</f>
      </c>
      <c r="R111" s="12">
        <f>IF(P111=0,0,MAX(0,P111-'00_Parametres'!$B$23))</f>
      </c>
      <c r="S111" s="10"/>
      <c r="T111" s="10"/>
      <c r="U111" s="10"/>
    </row>
    <row r="112" spans="1:21" x14ac:dyDescent="0.25">
      <c r="A112" s="18"/>
      <c r="B112" s="18"/>
      <c r="C112" s="9">
        <f>IF(B112="","",IFERROR(VLOOKUP(B112,'01_Employes'!$A$6:$Q$30,4,FALSE),"⚠ ID inconnu"))</f>
      </c>
      <c r="D112" s="9">
        <f>IF(A112="","",TEXT(A112,"dddd"))</f>
      </c>
      <c r="E112" s="24">
        <f>IF(A112="","",IFERROR(INDEX('00_Parametres'!$C$7:$C$13,WEEKDAY(A112,2)),""))</f>
      </c>
      <c r="F112" s="24">
        <f>IF(A112="","",IFERROR(INDEX('00_Parametres'!$D$7:$D$13,WEEKDAY(A112,2)),""))</f>
      </c>
      <c r="G112" s="24">
        <f>IF(A112="","",IFERROR(INDEX('00_Parametres'!$E$7:$E$13,WEEKDAY(A112,2)),0))</f>
      </c>
      <c r="H112" s="11"/>
      <c r="I112" s="11"/>
      <c r="J112" s="11"/>
      <c r="K112" s="11"/>
      <c r="L112" s="12">
        <f>IF(OR(A112="",H112=""),"",IF(H112&lt;E112,IF(OR(J112="Oui",'00_Parametres'!$B$28="Oui"),H112,E112),H112))</f>
      </c>
      <c r="M112" s="12">
        <f>IF(OR(A112="",I112=""),"",IF(I112&gt;F112,IF(OR(K112="Oui",'00_Parametres'!$B$29="Oui"),I112,F112),I112))</f>
      </c>
      <c r="N112" s="25">
        <f>IF(OR(A112="",H112="",E112=""),0,MAX(0,ROUND((H112-E112)*1440,0)))</f>
      </c>
      <c r="O112" s="25">
        <f>IF(OR(A112="",I112="",F112=""),0,MAX(0,ROUND((F112-I112)*1440,0)))</f>
      </c>
      <c r="P112" s="12">
        <f>IF(OR(L112="",M112=""),0,MAX(0,ROUND((M112-L112)*24-G112,2)))</f>
      </c>
      <c r="Q112" s="12">
        <f>IF(P112=0,0,MIN(P112,'00_Parametres'!$B$23))</f>
      </c>
      <c r="R112" s="12">
        <f>IF(P112=0,0,MAX(0,P112-'00_Parametres'!$B$23))</f>
      </c>
      <c r="S112" s="10"/>
      <c r="T112" s="10"/>
      <c r="U112" s="10"/>
    </row>
    <row r="113" spans="1:21" x14ac:dyDescent="0.25">
      <c r="A113" s="18"/>
      <c r="B113" s="18"/>
      <c r="C113" s="9">
        <f>IF(B113="","",IFERROR(VLOOKUP(B113,'01_Employes'!$A$6:$Q$30,4,FALSE),"⚠ ID inconnu"))</f>
      </c>
      <c r="D113" s="9">
        <f>IF(A113="","",TEXT(A113,"dddd"))</f>
      </c>
      <c r="E113" s="24">
        <f>IF(A113="","",IFERROR(INDEX('00_Parametres'!$C$7:$C$13,WEEKDAY(A113,2)),""))</f>
      </c>
      <c r="F113" s="24">
        <f>IF(A113="","",IFERROR(INDEX('00_Parametres'!$D$7:$D$13,WEEKDAY(A113,2)),""))</f>
      </c>
      <c r="G113" s="24">
        <f>IF(A113="","",IFERROR(INDEX('00_Parametres'!$E$7:$E$13,WEEKDAY(A113,2)),0))</f>
      </c>
      <c r="H113" s="11"/>
      <c r="I113" s="11"/>
      <c r="J113" s="11"/>
      <c r="K113" s="11"/>
      <c r="L113" s="12">
        <f>IF(OR(A113="",H113=""),"",IF(H113&lt;E113,IF(OR(J113="Oui",'00_Parametres'!$B$28="Oui"),H113,E113),H113))</f>
      </c>
      <c r="M113" s="12">
        <f>IF(OR(A113="",I113=""),"",IF(I113&gt;F113,IF(OR(K113="Oui",'00_Parametres'!$B$29="Oui"),I113,F113),I113))</f>
      </c>
      <c r="N113" s="25">
        <f>IF(OR(A113="",H113="",E113=""),0,MAX(0,ROUND((H113-E113)*1440,0)))</f>
      </c>
      <c r="O113" s="25">
        <f>IF(OR(A113="",I113="",F113=""),0,MAX(0,ROUND((F113-I113)*1440,0)))</f>
      </c>
      <c r="P113" s="12">
        <f>IF(OR(L113="",M113=""),0,MAX(0,ROUND((M113-L113)*24-G113,2)))</f>
      </c>
      <c r="Q113" s="12">
        <f>IF(P113=0,0,MIN(P113,'00_Parametres'!$B$23))</f>
      </c>
      <c r="R113" s="12">
        <f>IF(P113=0,0,MAX(0,P113-'00_Parametres'!$B$23))</f>
      </c>
      <c r="S113" s="10"/>
      <c r="T113" s="10"/>
      <c r="U113" s="10"/>
    </row>
    <row r="114" spans="1:21" x14ac:dyDescent="0.25">
      <c r="A114" s="18"/>
      <c r="B114" s="18"/>
      <c r="C114" s="9">
        <f>IF(B114="","",IFERROR(VLOOKUP(B114,'01_Employes'!$A$6:$Q$30,4,FALSE),"⚠ ID inconnu"))</f>
      </c>
      <c r="D114" s="9">
        <f>IF(A114="","",TEXT(A114,"dddd"))</f>
      </c>
      <c r="E114" s="24">
        <f>IF(A114="","",IFERROR(INDEX('00_Parametres'!$C$7:$C$13,WEEKDAY(A114,2)),""))</f>
      </c>
      <c r="F114" s="24">
        <f>IF(A114="","",IFERROR(INDEX('00_Parametres'!$D$7:$D$13,WEEKDAY(A114,2)),""))</f>
      </c>
      <c r="G114" s="24">
        <f>IF(A114="","",IFERROR(INDEX('00_Parametres'!$E$7:$E$13,WEEKDAY(A114,2)),0))</f>
      </c>
      <c r="H114" s="11"/>
      <c r="I114" s="11"/>
      <c r="J114" s="11"/>
      <c r="K114" s="11"/>
      <c r="L114" s="12">
        <f>IF(OR(A114="",H114=""),"",IF(H114&lt;E114,IF(OR(J114="Oui",'00_Parametres'!$B$28="Oui"),H114,E114),H114))</f>
      </c>
      <c r="M114" s="12">
        <f>IF(OR(A114="",I114=""),"",IF(I114&gt;F114,IF(OR(K114="Oui",'00_Parametres'!$B$29="Oui"),I114,F114),I114))</f>
      </c>
      <c r="N114" s="25">
        <f>IF(OR(A114="",H114="",E114=""),0,MAX(0,ROUND((H114-E114)*1440,0)))</f>
      </c>
      <c r="O114" s="25">
        <f>IF(OR(A114="",I114="",F114=""),0,MAX(0,ROUND((F114-I114)*1440,0)))</f>
      </c>
      <c r="P114" s="12">
        <f>IF(OR(L114="",M114=""),0,MAX(0,ROUND((M114-L114)*24-G114,2)))</f>
      </c>
      <c r="Q114" s="12">
        <f>IF(P114=0,0,MIN(P114,'00_Parametres'!$B$23))</f>
      </c>
      <c r="R114" s="12">
        <f>IF(P114=0,0,MAX(0,P114-'00_Parametres'!$B$23))</f>
      </c>
      <c r="S114" s="10"/>
      <c r="T114" s="10"/>
      <c r="U114" s="10"/>
    </row>
    <row r="115" spans="1:21" x14ac:dyDescent="0.25">
      <c r="A115" s="18"/>
      <c r="B115" s="18"/>
      <c r="C115" s="9">
        <f>IF(B115="","",IFERROR(VLOOKUP(B115,'01_Employes'!$A$6:$Q$30,4,FALSE),"⚠ ID inconnu"))</f>
      </c>
      <c r="D115" s="9">
        <f>IF(A115="","",TEXT(A115,"dddd"))</f>
      </c>
      <c r="E115" s="24">
        <f>IF(A115="","",IFERROR(INDEX('00_Parametres'!$C$7:$C$13,WEEKDAY(A115,2)),""))</f>
      </c>
      <c r="F115" s="24">
        <f>IF(A115="","",IFERROR(INDEX('00_Parametres'!$D$7:$D$13,WEEKDAY(A115,2)),""))</f>
      </c>
      <c r="G115" s="24">
        <f>IF(A115="","",IFERROR(INDEX('00_Parametres'!$E$7:$E$13,WEEKDAY(A115,2)),0))</f>
      </c>
      <c r="H115" s="11"/>
      <c r="I115" s="11"/>
      <c r="J115" s="11"/>
      <c r="K115" s="11"/>
      <c r="L115" s="12">
        <f>IF(OR(A115="",H115=""),"",IF(H115&lt;E115,IF(OR(J115="Oui",'00_Parametres'!$B$28="Oui"),H115,E115),H115))</f>
      </c>
      <c r="M115" s="12">
        <f>IF(OR(A115="",I115=""),"",IF(I115&gt;F115,IF(OR(K115="Oui",'00_Parametres'!$B$29="Oui"),I115,F115),I115))</f>
      </c>
      <c r="N115" s="25">
        <f>IF(OR(A115="",H115="",E115=""),0,MAX(0,ROUND((H115-E115)*1440,0)))</f>
      </c>
      <c r="O115" s="25">
        <f>IF(OR(A115="",I115="",F115=""),0,MAX(0,ROUND((F115-I115)*1440,0)))</f>
      </c>
      <c r="P115" s="12">
        <f>IF(OR(L115="",M115=""),0,MAX(0,ROUND((M115-L115)*24-G115,2)))</f>
      </c>
      <c r="Q115" s="12">
        <f>IF(P115=0,0,MIN(P115,'00_Parametres'!$B$23))</f>
      </c>
      <c r="R115" s="12">
        <f>IF(P115=0,0,MAX(0,P115-'00_Parametres'!$B$23))</f>
      </c>
      <c r="S115" s="10"/>
      <c r="T115" s="10"/>
      <c r="U115" s="10"/>
    </row>
    <row r="116" spans="1:21" x14ac:dyDescent="0.25">
      <c r="A116" s="18"/>
      <c r="B116" s="18"/>
      <c r="C116" s="9">
        <f>IF(B116="","",IFERROR(VLOOKUP(B116,'01_Employes'!$A$6:$Q$30,4,FALSE),"⚠ ID inconnu"))</f>
      </c>
      <c r="D116" s="9">
        <f>IF(A116="","",TEXT(A116,"dddd"))</f>
      </c>
      <c r="E116" s="24">
        <f>IF(A116="","",IFERROR(INDEX('00_Parametres'!$C$7:$C$13,WEEKDAY(A116,2)),""))</f>
      </c>
      <c r="F116" s="24">
        <f>IF(A116="","",IFERROR(INDEX('00_Parametres'!$D$7:$D$13,WEEKDAY(A116,2)),""))</f>
      </c>
      <c r="G116" s="24">
        <f>IF(A116="","",IFERROR(INDEX('00_Parametres'!$E$7:$E$13,WEEKDAY(A116,2)),0))</f>
      </c>
      <c r="H116" s="11"/>
      <c r="I116" s="11"/>
      <c r="J116" s="11"/>
      <c r="K116" s="11"/>
      <c r="L116" s="12">
        <f>IF(OR(A116="",H116=""),"",IF(H116&lt;E116,IF(OR(J116="Oui",'00_Parametres'!$B$28="Oui"),H116,E116),H116))</f>
      </c>
      <c r="M116" s="12">
        <f>IF(OR(A116="",I116=""),"",IF(I116&gt;F116,IF(OR(K116="Oui",'00_Parametres'!$B$29="Oui"),I116,F116),I116))</f>
      </c>
      <c r="N116" s="25">
        <f>IF(OR(A116="",H116="",E116=""),0,MAX(0,ROUND((H116-E116)*1440,0)))</f>
      </c>
      <c r="O116" s="25">
        <f>IF(OR(A116="",I116="",F116=""),0,MAX(0,ROUND((F116-I116)*1440,0)))</f>
      </c>
      <c r="P116" s="12">
        <f>IF(OR(L116="",M116=""),0,MAX(0,ROUND((M116-L116)*24-G116,2)))</f>
      </c>
      <c r="Q116" s="12">
        <f>IF(P116=0,0,MIN(P116,'00_Parametres'!$B$23))</f>
      </c>
      <c r="R116" s="12">
        <f>IF(P116=0,0,MAX(0,P116-'00_Parametres'!$B$23))</f>
      </c>
      <c r="S116" s="10"/>
      <c r="T116" s="10"/>
      <c r="U116" s="10"/>
    </row>
    <row r="117" spans="1:21" x14ac:dyDescent="0.25">
      <c r="A117" s="18"/>
      <c r="B117" s="18"/>
      <c r="C117" s="9">
        <f>IF(B117="","",IFERROR(VLOOKUP(B117,'01_Employes'!$A$6:$Q$30,4,FALSE),"⚠ ID inconnu"))</f>
      </c>
      <c r="D117" s="9">
        <f>IF(A117="","",TEXT(A117,"dddd"))</f>
      </c>
      <c r="E117" s="24">
        <f>IF(A117="","",IFERROR(INDEX('00_Parametres'!$C$7:$C$13,WEEKDAY(A117,2)),""))</f>
      </c>
      <c r="F117" s="24">
        <f>IF(A117="","",IFERROR(INDEX('00_Parametres'!$D$7:$D$13,WEEKDAY(A117,2)),""))</f>
      </c>
      <c r="G117" s="24">
        <f>IF(A117="","",IFERROR(INDEX('00_Parametres'!$E$7:$E$13,WEEKDAY(A117,2)),0))</f>
      </c>
      <c r="H117" s="11"/>
      <c r="I117" s="11"/>
      <c r="J117" s="11"/>
      <c r="K117" s="11"/>
      <c r="L117" s="12">
        <f>IF(OR(A117="",H117=""),"",IF(H117&lt;E117,IF(OR(J117="Oui",'00_Parametres'!$B$28="Oui"),H117,E117),H117))</f>
      </c>
      <c r="M117" s="12">
        <f>IF(OR(A117="",I117=""),"",IF(I117&gt;F117,IF(OR(K117="Oui",'00_Parametres'!$B$29="Oui"),I117,F117),I117))</f>
      </c>
      <c r="N117" s="25">
        <f>IF(OR(A117="",H117="",E117=""),0,MAX(0,ROUND((H117-E117)*1440,0)))</f>
      </c>
      <c r="O117" s="25">
        <f>IF(OR(A117="",I117="",F117=""),0,MAX(0,ROUND((F117-I117)*1440,0)))</f>
      </c>
      <c r="P117" s="12">
        <f>IF(OR(L117="",M117=""),0,MAX(0,ROUND((M117-L117)*24-G117,2)))</f>
      </c>
      <c r="Q117" s="12">
        <f>IF(P117=0,0,MIN(P117,'00_Parametres'!$B$23))</f>
      </c>
      <c r="R117" s="12">
        <f>IF(P117=0,0,MAX(0,P117-'00_Parametres'!$B$23))</f>
      </c>
      <c r="S117" s="10"/>
      <c r="T117" s="10"/>
      <c r="U117" s="10"/>
    </row>
    <row r="118" spans="1:21" x14ac:dyDescent="0.25">
      <c r="A118" s="18"/>
      <c r="B118" s="18"/>
      <c r="C118" s="9">
        <f>IF(B118="","",IFERROR(VLOOKUP(B118,'01_Employes'!$A$6:$Q$30,4,FALSE),"⚠ ID inconnu"))</f>
      </c>
      <c r="D118" s="9">
        <f>IF(A118="","",TEXT(A118,"dddd"))</f>
      </c>
      <c r="E118" s="24">
        <f>IF(A118="","",IFERROR(INDEX('00_Parametres'!$C$7:$C$13,WEEKDAY(A118,2)),""))</f>
      </c>
      <c r="F118" s="24">
        <f>IF(A118="","",IFERROR(INDEX('00_Parametres'!$D$7:$D$13,WEEKDAY(A118,2)),""))</f>
      </c>
      <c r="G118" s="24">
        <f>IF(A118="","",IFERROR(INDEX('00_Parametres'!$E$7:$E$13,WEEKDAY(A118,2)),0))</f>
      </c>
      <c r="H118" s="11"/>
      <c r="I118" s="11"/>
      <c r="J118" s="11"/>
      <c r="K118" s="11"/>
      <c r="L118" s="12">
        <f>IF(OR(A118="",H118=""),"",IF(H118&lt;E118,IF(OR(J118="Oui",'00_Parametres'!$B$28="Oui"),H118,E118),H118))</f>
      </c>
      <c r="M118" s="12">
        <f>IF(OR(A118="",I118=""),"",IF(I118&gt;F118,IF(OR(K118="Oui",'00_Parametres'!$B$29="Oui"),I118,F118),I118))</f>
      </c>
      <c r="N118" s="25">
        <f>IF(OR(A118="",H118="",E118=""),0,MAX(0,ROUND((H118-E118)*1440,0)))</f>
      </c>
      <c r="O118" s="25">
        <f>IF(OR(A118="",I118="",F118=""),0,MAX(0,ROUND((F118-I118)*1440,0)))</f>
      </c>
      <c r="P118" s="12">
        <f>IF(OR(L118="",M118=""),0,MAX(0,ROUND((M118-L118)*24-G118,2)))</f>
      </c>
      <c r="Q118" s="12">
        <f>IF(P118=0,0,MIN(P118,'00_Parametres'!$B$23))</f>
      </c>
      <c r="R118" s="12">
        <f>IF(P118=0,0,MAX(0,P118-'00_Parametres'!$B$23))</f>
      </c>
      <c r="S118" s="10"/>
      <c r="T118" s="10"/>
      <c r="U118" s="10"/>
    </row>
    <row r="119" spans="1:21" x14ac:dyDescent="0.25">
      <c r="A119" s="18"/>
      <c r="B119" s="18"/>
      <c r="C119" s="9">
        <f>IF(B119="","",IFERROR(VLOOKUP(B119,'01_Employes'!$A$6:$Q$30,4,FALSE),"⚠ ID inconnu"))</f>
      </c>
      <c r="D119" s="9">
        <f>IF(A119="","",TEXT(A119,"dddd"))</f>
      </c>
      <c r="E119" s="24">
        <f>IF(A119="","",IFERROR(INDEX('00_Parametres'!$C$7:$C$13,WEEKDAY(A119,2)),""))</f>
      </c>
      <c r="F119" s="24">
        <f>IF(A119="","",IFERROR(INDEX('00_Parametres'!$D$7:$D$13,WEEKDAY(A119,2)),""))</f>
      </c>
      <c r="G119" s="24">
        <f>IF(A119="","",IFERROR(INDEX('00_Parametres'!$E$7:$E$13,WEEKDAY(A119,2)),0))</f>
      </c>
      <c r="H119" s="11"/>
      <c r="I119" s="11"/>
      <c r="J119" s="11"/>
      <c r="K119" s="11"/>
      <c r="L119" s="12">
        <f>IF(OR(A119="",H119=""),"",IF(H119&lt;E119,IF(OR(J119="Oui",'00_Parametres'!$B$28="Oui"),H119,E119),H119))</f>
      </c>
      <c r="M119" s="12">
        <f>IF(OR(A119="",I119=""),"",IF(I119&gt;F119,IF(OR(K119="Oui",'00_Parametres'!$B$29="Oui"),I119,F119),I119))</f>
      </c>
      <c r="N119" s="25">
        <f>IF(OR(A119="",H119="",E119=""),0,MAX(0,ROUND((H119-E119)*1440,0)))</f>
      </c>
      <c r="O119" s="25">
        <f>IF(OR(A119="",I119="",F119=""),0,MAX(0,ROUND((F119-I119)*1440,0)))</f>
      </c>
      <c r="P119" s="12">
        <f>IF(OR(L119="",M119=""),0,MAX(0,ROUND((M119-L119)*24-G119,2)))</f>
      </c>
      <c r="Q119" s="12">
        <f>IF(P119=0,0,MIN(P119,'00_Parametres'!$B$23))</f>
      </c>
      <c r="R119" s="12">
        <f>IF(P119=0,0,MAX(0,P119-'00_Parametres'!$B$23))</f>
      </c>
      <c r="S119" s="10"/>
      <c r="T119" s="10"/>
      <c r="U119" s="10"/>
    </row>
    <row r="120" spans="1:21" x14ac:dyDescent="0.25">
      <c r="A120" s="18"/>
      <c r="B120" s="18"/>
      <c r="C120" s="9">
        <f>IF(B120="","",IFERROR(VLOOKUP(B120,'01_Employes'!$A$6:$Q$30,4,FALSE),"⚠ ID inconnu"))</f>
      </c>
      <c r="D120" s="9">
        <f>IF(A120="","",TEXT(A120,"dddd"))</f>
      </c>
      <c r="E120" s="24">
        <f>IF(A120="","",IFERROR(INDEX('00_Parametres'!$C$7:$C$13,WEEKDAY(A120,2)),""))</f>
      </c>
      <c r="F120" s="24">
        <f>IF(A120="","",IFERROR(INDEX('00_Parametres'!$D$7:$D$13,WEEKDAY(A120,2)),""))</f>
      </c>
      <c r="G120" s="24">
        <f>IF(A120="","",IFERROR(INDEX('00_Parametres'!$E$7:$E$13,WEEKDAY(A120,2)),0))</f>
      </c>
      <c r="H120" s="11"/>
      <c r="I120" s="11"/>
      <c r="J120" s="11"/>
      <c r="K120" s="11"/>
      <c r="L120" s="12">
        <f>IF(OR(A120="",H120=""),"",IF(H120&lt;E120,IF(OR(J120="Oui",'00_Parametres'!$B$28="Oui"),H120,E120),H120))</f>
      </c>
      <c r="M120" s="12">
        <f>IF(OR(A120="",I120=""),"",IF(I120&gt;F120,IF(OR(K120="Oui",'00_Parametres'!$B$29="Oui"),I120,F120),I120))</f>
      </c>
      <c r="N120" s="25">
        <f>IF(OR(A120="",H120="",E120=""),0,MAX(0,ROUND((H120-E120)*1440,0)))</f>
      </c>
      <c r="O120" s="25">
        <f>IF(OR(A120="",I120="",F120=""),0,MAX(0,ROUND((F120-I120)*1440,0)))</f>
      </c>
      <c r="P120" s="12">
        <f>IF(OR(L120="",M120=""),0,MAX(0,ROUND((M120-L120)*24-G120,2)))</f>
      </c>
      <c r="Q120" s="12">
        <f>IF(P120=0,0,MIN(P120,'00_Parametres'!$B$23))</f>
      </c>
      <c r="R120" s="12">
        <f>IF(P120=0,0,MAX(0,P120-'00_Parametres'!$B$23))</f>
      </c>
      <c r="S120" s="10"/>
      <c r="T120" s="10"/>
      <c r="U120" s="10"/>
    </row>
    <row r="121" spans="1:21" x14ac:dyDescent="0.25">
      <c r="A121" s="18"/>
      <c r="B121" s="18"/>
      <c r="C121" s="9">
        <f>IF(B121="","",IFERROR(VLOOKUP(B121,'01_Employes'!$A$6:$Q$30,4,FALSE),"⚠ ID inconnu"))</f>
      </c>
      <c r="D121" s="9">
        <f>IF(A121="","",TEXT(A121,"dddd"))</f>
      </c>
      <c r="E121" s="24">
        <f>IF(A121="","",IFERROR(INDEX('00_Parametres'!$C$7:$C$13,WEEKDAY(A121,2)),""))</f>
      </c>
      <c r="F121" s="24">
        <f>IF(A121="","",IFERROR(INDEX('00_Parametres'!$D$7:$D$13,WEEKDAY(A121,2)),""))</f>
      </c>
      <c r="G121" s="24">
        <f>IF(A121="","",IFERROR(INDEX('00_Parametres'!$E$7:$E$13,WEEKDAY(A121,2)),0))</f>
      </c>
      <c r="H121" s="11"/>
      <c r="I121" s="11"/>
      <c r="J121" s="11"/>
      <c r="K121" s="11"/>
      <c r="L121" s="12">
        <f>IF(OR(A121="",H121=""),"",IF(H121&lt;E121,IF(OR(J121="Oui",'00_Parametres'!$B$28="Oui"),H121,E121),H121))</f>
      </c>
      <c r="M121" s="12">
        <f>IF(OR(A121="",I121=""),"",IF(I121&gt;F121,IF(OR(K121="Oui",'00_Parametres'!$B$29="Oui"),I121,F121),I121))</f>
      </c>
      <c r="N121" s="25">
        <f>IF(OR(A121="",H121="",E121=""),0,MAX(0,ROUND((H121-E121)*1440,0)))</f>
      </c>
      <c r="O121" s="25">
        <f>IF(OR(A121="",I121="",F121=""),0,MAX(0,ROUND((F121-I121)*1440,0)))</f>
      </c>
      <c r="P121" s="12">
        <f>IF(OR(L121="",M121=""),0,MAX(0,ROUND((M121-L121)*24-G121,2)))</f>
      </c>
      <c r="Q121" s="12">
        <f>IF(P121=0,0,MIN(P121,'00_Parametres'!$B$23))</f>
      </c>
      <c r="R121" s="12">
        <f>IF(P121=0,0,MAX(0,P121-'00_Parametres'!$B$23))</f>
      </c>
      <c r="S121" s="10"/>
      <c r="T121" s="10"/>
      <c r="U121" s="10"/>
    </row>
    <row r="122" spans="1:21" x14ac:dyDescent="0.25">
      <c r="A122" s="18"/>
      <c r="B122" s="18"/>
      <c r="C122" s="9">
        <f>IF(B122="","",IFERROR(VLOOKUP(B122,'01_Employes'!$A$6:$Q$30,4,FALSE),"⚠ ID inconnu"))</f>
      </c>
      <c r="D122" s="9">
        <f>IF(A122="","",TEXT(A122,"dddd"))</f>
      </c>
      <c r="E122" s="24">
        <f>IF(A122="","",IFERROR(INDEX('00_Parametres'!$C$7:$C$13,WEEKDAY(A122,2)),""))</f>
      </c>
      <c r="F122" s="24">
        <f>IF(A122="","",IFERROR(INDEX('00_Parametres'!$D$7:$D$13,WEEKDAY(A122,2)),""))</f>
      </c>
      <c r="G122" s="24">
        <f>IF(A122="","",IFERROR(INDEX('00_Parametres'!$E$7:$E$13,WEEKDAY(A122,2)),0))</f>
      </c>
      <c r="H122" s="11"/>
      <c r="I122" s="11"/>
      <c r="J122" s="11"/>
      <c r="K122" s="11"/>
      <c r="L122" s="12">
        <f>IF(OR(A122="",H122=""),"",IF(H122&lt;E122,IF(OR(J122="Oui",'00_Parametres'!$B$28="Oui"),H122,E122),H122))</f>
      </c>
      <c r="M122" s="12">
        <f>IF(OR(A122="",I122=""),"",IF(I122&gt;F122,IF(OR(K122="Oui",'00_Parametres'!$B$29="Oui"),I122,F122),I122))</f>
      </c>
      <c r="N122" s="25">
        <f>IF(OR(A122="",H122="",E122=""),0,MAX(0,ROUND((H122-E122)*1440,0)))</f>
      </c>
      <c r="O122" s="25">
        <f>IF(OR(A122="",I122="",F122=""),0,MAX(0,ROUND((F122-I122)*1440,0)))</f>
      </c>
      <c r="P122" s="12">
        <f>IF(OR(L122="",M122=""),0,MAX(0,ROUND((M122-L122)*24-G122,2)))</f>
      </c>
      <c r="Q122" s="12">
        <f>IF(P122=0,0,MIN(P122,'00_Parametres'!$B$23))</f>
      </c>
      <c r="R122" s="12">
        <f>IF(P122=0,0,MAX(0,P122-'00_Parametres'!$B$23))</f>
      </c>
      <c r="S122" s="10"/>
      <c r="T122" s="10"/>
      <c r="U122" s="10"/>
    </row>
    <row r="123" spans="1:21" x14ac:dyDescent="0.25">
      <c r="A123" s="18"/>
      <c r="B123" s="18"/>
      <c r="C123" s="9">
        <f>IF(B123="","",IFERROR(VLOOKUP(B123,'01_Employes'!$A$6:$Q$30,4,FALSE),"⚠ ID inconnu"))</f>
      </c>
      <c r="D123" s="9">
        <f>IF(A123="","",TEXT(A123,"dddd"))</f>
      </c>
      <c r="E123" s="24">
        <f>IF(A123="","",IFERROR(INDEX('00_Parametres'!$C$7:$C$13,WEEKDAY(A123,2)),""))</f>
      </c>
      <c r="F123" s="24">
        <f>IF(A123="","",IFERROR(INDEX('00_Parametres'!$D$7:$D$13,WEEKDAY(A123,2)),""))</f>
      </c>
      <c r="G123" s="24">
        <f>IF(A123="","",IFERROR(INDEX('00_Parametres'!$E$7:$E$13,WEEKDAY(A123,2)),0))</f>
      </c>
      <c r="H123" s="11"/>
      <c r="I123" s="11"/>
      <c r="J123" s="11"/>
      <c r="K123" s="11"/>
      <c r="L123" s="12">
        <f>IF(OR(A123="",H123=""),"",IF(H123&lt;E123,IF(OR(J123="Oui",'00_Parametres'!$B$28="Oui"),H123,E123),H123))</f>
      </c>
      <c r="M123" s="12">
        <f>IF(OR(A123="",I123=""),"",IF(I123&gt;F123,IF(OR(K123="Oui",'00_Parametres'!$B$29="Oui"),I123,F123),I123))</f>
      </c>
      <c r="N123" s="25">
        <f>IF(OR(A123="",H123="",E123=""),0,MAX(0,ROUND((H123-E123)*1440,0)))</f>
      </c>
      <c r="O123" s="25">
        <f>IF(OR(A123="",I123="",F123=""),0,MAX(0,ROUND((F123-I123)*1440,0)))</f>
      </c>
      <c r="P123" s="12">
        <f>IF(OR(L123="",M123=""),0,MAX(0,ROUND((M123-L123)*24-G123,2)))</f>
      </c>
      <c r="Q123" s="12">
        <f>IF(P123=0,0,MIN(P123,'00_Parametres'!$B$23))</f>
      </c>
      <c r="R123" s="12">
        <f>IF(P123=0,0,MAX(0,P123-'00_Parametres'!$B$23))</f>
      </c>
      <c r="S123" s="10"/>
      <c r="T123" s="10"/>
      <c r="U123" s="10"/>
    </row>
    <row r="124" spans="1:21" x14ac:dyDescent="0.25">
      <c r="A124" s="18"/>
      <c r="B124" s="18"/>
      <c r="C124" s="9">
        <f>IF(B124="","",IFERROR(VLOOKUP(B124,'01_Employes'!$A$6:$Q$30,4,FALSE),"⚠ ID inconnu"))</f>
      </c>
      <c r="D124" s="9">
        <f>IF(A124="","",TEXT(A124,"dddd"))</f>
      </c>
      <c r="E124" s="24">
        <f>IF(A124="","",IFERROR(INDEX('00_Parametres'!$C$7:$C$13,WEEKDAY(A124,2)),""))</f>
      </c>
      <c r="F124" s="24">
        <f>IF(A124="","",IFERROR(INDEX('00_Parametres'!$D$7:$D$13,WEEKDAY(A124,2)),""))</f>
      </c>
      <c r="G124" s="24">
        <f>IF(A124="","",IFERROR(INDEX('00_Parametres'!$E$7:$E$13,WEEKDAY(A124,2)),0))</f>
      </c>
      <c r="H124" s="11"/>
      <c r="I124" s="11"/>
      <c r="J124" s="11"/>
      <c r="K124" s="11"/>
      <c r="L124" s="12">
        <f>IF(OR(A124="",H124=""),"",IF(H124&lt;E124,IF(OR(J124="Oui",'00_Parametres'!$B$28="Oui"),H124,E124),H124))</f>
      </c>
      <c r="M124" s="12">
        <f>IF(OR(A124="",I124=""),"",IF(I124&gt;F124,IF(OR(K124="Oui",'00_Parametres'!$B$29="Oui"),I124,F124),I124))</f>
      </c>
      <c r="N124" s="25">
        <f>IF(OR(A124="",H124="",E124=""),0,MAX(0,ROUND((H124-E124)*1440,0)))</f>
      </c>
      <c r="O124" s="25">
        <f>IF(OR(A124="",I124="",F124=""),0,MAX(0,ROUND((F124-I124)*1440,0)))</f>
      </c>
      <c r="P124" s="12">
        <f>IF(OR(L124="",M124=""),0,MAX(0,ROUND((M124-L124)*24-G124,2)))</f>
      </c>
      <c r="Q124" s="12">
        <f>IF(P124=0,0,MIN(P124,'00_Parametres'!$B$23))</f>
      </c>
      <c r="R124" s="12">
        <f>IF(P124=0,0,MAX(0,P124-'00_Parametres'!$B$23))</f>
      </c>
      <c r="S124" s="10"/>
      <c r="T124" s="10"/>
      <c r="U124" s="10"/>
    </row>
    <row r="125" spans="1:21" x14ac:dyDescent="0.25">
      <c r="A125" s="18"/>
      <c r="B125" s="18"/>
      <c r="C125" s="9">
        <f>IF(B125="","",IFERROR(VLOOKUP(B125,'01_Employes'!$A$6:$Q$30,4,FALSE),"⚠ ID inconnu"))</f>
      </c>
      <c r="D125" s="9">
        <f>IF(A125="","",TEXT(A125,"dddd"))</f>
      </c>
      <c r="E125" s="24">
        <f>IF(A125="","",IFERROR(INDEX('00_Parametres'!$C$7:$C$13,WEEKDAY(A125,2)),""))</f>
      </c>
      <c r="F125" s="24">
        <f>IF(A125="","",IFERROR(INDEX('00_Parametres'!$D$7:$D$13,WEEKDAY(A125,2)),""))</f>
      </c>
      <c r="G125" s="24">
        <f>IF(A125="","",IFERROR(INDEX('00_Parametres'!$E$7:$E$13,WEEKDAY(A125,2)),0))</f>
      </c>
      <c r="H125" s="11"/>
      <c r="I125" s="11"/>
      <c r="J125" s="11"/>
      <c r="K125" s="11"/>
      <c r="L125" s="12">
        <f>IF(OR(A125="",H125=""),"",IF(H125&lt;E125,IF(OR(J125="Oui",'00_Parametres'!$B$28="Oui"),H125,E125),H125))</f>
      </c>
      <c r="M125" s="12">
        <f>IF(OR(A125="",I125=""),"",IF(I125&gt;F125,IF(OR(K125="Oui",'00_Parametres'!$B$29="Oui"),I125,F125),I125))</f>
      </c>
      <c r="N125" s="25">
        <f>IF(OR(A125="",H125="",E125=""),0,MAX(0,ROUND((H125-E125)*1440,0)))</f>
      </c>
      <c r="O125" s="25">
        <f>IF(OR(A125="",I125="",F125=""),0,MAX(0,ROUND((F125-I125)*1440,0)))</f>
      </c>
      <c r="P125" s="12">
        <f>IF(OR(L125="",M125=""),0,MAX(0,ROUND((M125-L125)*24-G125,2)))</f>
      </c>
      <c r="Q125" s="12">
        <f>IF(P125=0,0,MIN(P125,'00_Parametres'!$B$23))</f>
      </c>
      <c r="R125" s="12">
        <f>IF(P125=0,0,MAX(0,P125-'00_Parametres'!$B$23))</f>
      </c>
      <c r="S125" s="10"/>
      <c r="T125" s="10"/>
      <c r="U125" s="10"/>
    </row>
    <row r="126" spans="1:21" x14ac:dyDescent="0.25">
      <c r="A126" s="18"/>
      <c r="B126" s="18"/>
      <c r="C126" s="9">
        <f>IF(B126="","",IFERROR(VLOOKUP(B126,'01_Employes'!$A$6:$Q$30,4,FALSE),"⚠ ID inconnu"))</f>
      </c>
      <c r="D126" s="9">
        <f>IF(A126="","",TEXT(A126,"dddd"))</f>
      </c>
      <c r="E126" s="24">
        <f>IF(A126="","",IFERROR(INDEX('00_Parametres'!$C$7:$C$13,WEEKDAY(A126,2)),""))</f>
      </c>
      <c r="F126" s="24">
        <f>IF(A126="","",IFERROR(INDEX('00_Parametres'!$D$7:$D$13,WEEKDAY(A126,2)),""))</f>
      </c>
      <c r="G126" s="24">
        <f>IF(A126="","",IFERROR(INDEX('00_Parametres'!$E$7:$E$13,WEEKDAY(A126,2)),0))</f>
      </c>
      <c r="H126" s="11"/>
      <c r="I126" s="11"/>
      <c r="J126" s="11"/>
      <c r="K126" s="11"/>
      <c r="L126" s="12">
        <f>IF(OR(A126="",H126=""),"",IF(H126&lt;E126,IF(OR(J126="Oui",'00_Parametres'!$B$28="Oui"),H126,E126),H126))</f>
      </c>
      <c r="M126" s="12">
        <f>IF(OR(A126="",I126=""),"",IF(I126&gt;F126,IF(OR(K126="Oui",'00_Parametres'!$B$29="Oui"),I126,F126),I126))</f>
      </c>
      <c r="N126" s="25">
        <f>IF(OR(A126="",H126="",E126=""),0,MAX(0,ROUND((H126-E126)*1440,0)))</f>
      </c>
      <c r="O126" s="25">
        <f>IF(OR(A126="",I126="",F126=""),0,MAX(0,ROUND((F126-I126)*1440,0)))</f>
      </c>
      <c r="P126" s="12">
        <f>IF(OR(L126="",M126=""),0,MAX(0,ROUND((M126-L126)*24-G126,2)))</f>
      </c>
      <c r="Q126" s="12">
        <f>IF(P126=0,0,MIN(P126,'00_Parametres'!$B$23))</f>
      </c>
      <c r="R126" s="12">
        <f>IF(P126=0,0,MAX(0,P126-'00_Parametres'!$B$23))</f>
      </c>
      <c r="S126" s="10"/>
      <c r="T126" s="10"/>
      <c r="U126" s="10"/>
    </row>
    <row r="127" spans="1:21" x14ac:dyDescent="0.25">
      <c r="A127" s="18"/>
      <c r="B127" s="18"/>
      <c r="C127" s="9">
        <f>IF(B127="","",IFERROR(VLOOKUP(B127,'01_Employes'!$A$6:$Q$30,4,FALSE),"⚠ ID inconnu"))</f>
      </c>
      <c r="D127" s="9">
        <f>IF(A127="","",TEXT(A127,"dddd"))</f>
      </c>
      <c r="E127" s="24">
        <f>IF(A127="","",IFERROR(INDEX('00_Parametres'!$C$7:$C$13,WEEKDAY(A127,2)),""))</f>
      </c>
      <c r="F127" s="24">
        <f>IF(A127="","",IFERROR(INDEX('00_Parametres'!$D$7:$D$13,WEEKDAY(A127,2)),""))</f>
      </c>
      <c r="G127" s="24">
        <f>IF(A127="","",IFERROR(INDEX('00_Parametres'!$E$7:$E$13,WEEKDAY(A127,2)),0))</f>
      </c>
      <c r="H127" s="11"/>
      <c r="I127" s="11"/>
      <c r="J127" s="11"/>
      <c r="K127" s="11"/>
      <c r="L127" s="12">
        <f>IF(OR(A127="",H127=""),"",IF(H127&lt;E127,IF(OR(J127="Oui",'00_Parametres'!$B$28="Oui"),H127,E127),H127))</f>
      </c>
      <c r="M127" s="12">
        <f>IF(OR(A127="",I127=""),"",IF(I127&gt;F127,IF(OR(K127="Oui",'00_Parametres'!$B$29="Oui"),I127,F127),I127))</f>
      </c>
      <c r="N127" s="25">
        <f>IF(OR(A127="",H127="",E127=""),0,MAX(0,ROUND((H127-E127)*1440,0)))</f>
      </c>
      <c r="O127" s="25">
        <f>IF(OR(A127="",I127="",F127=""),0,MAX(0,ROUND((F127-I127)*1440,0)))</f>
      </c>
      <c r="P127" s="12">
        <f>IF(OR(L127="",M127=""),0,MAX(0,ROUND((M127-L127)*24-G127,2)))</f>
      </c>
      <c r="Q127" s="12">
        <f>IF(P127=0,0,MIN(P127,'00_Parametres'!$B$23))</f>
      </c>
      <c r="R127" s="12">
        <f>IF(P127=0,0,MAX(0,P127-'00_Parametres'!$B$23))</f>
      </c>
      <c r="S127" s="10"/>
      <c r="T127" s="10"/>
      <c r="U127" s="10"/>
    </row>
    <row r="128" spans="1:21" x14ac:dyDescent="0.25">
      <c r="A128" s="18"/>
      <c r="B128" s="18"/>
      <c r="C128" s="9">
        <f>IF(B128="","",IFERROR(VLOOKUP(B128,'01_Employes'!$A$6:$Q$30,4,FALSE),"⚠ ID inconnu"))</f>
      </c>
      <c r="D128" s="9">
        <f>IF(A128="","",TEXT(A128,"dddd"))</f>
      </c>
      <c r="E128" s="24">
        <f>IF(A128="","",IFERROR(INDEX('00_Parametres'!$C$7:$C$13,WEEKDAY(A128,2)),""))</f>
      </c>
      <c r="F128" s="24">
        <f>IF(A128="","",IFERROR(INDEX('00_Parametres'!$D$7:$D$13,WEEKDAY(A128,2)),""))</f>
      </c>
      <c r="G128" s="24">
        <f>IF(A128="","",IFERROR(INDEX('00_Parametres'!$E$7:$E$13,WEEKDAY(A128,2)),0))</f>
      </c>
      <c r="H128" s="11"/>
      <c r="I128" s="11"/>
      <c r="J128" s="11"/>
      <c r="K128" s="11"/>
      <c r="L128" s="12">
        <f>IF(OR(A128="",H128=""),"",IF(H128&lt;E128,IF(OR(J128="Oui",'00_Parametres'!$B$28="Oui"),H128,E128),H128))</f>
      </c>
      <c r="M128" s="12">
        <f>IF(OR(A128="",I128=""),"",IF(I128&gt;F128,IF(OR(K128="Oui",'00_Parametres'!$B$29="Oui"),I128,F128),I128))</f>
      </c>
      <c r="N128" s="25">
        <f>IF(OR(A128="",H128="",E128=""),0,MAX(0,ROUND((H128-E128)*1440,0)))</f>
      </c>
      <c r="O128" s="25">
        <f>IF(OR(A128="",I128="",F128=""),0,MAX(0,ROUND((F128-I128)*1440,0)))</f>
      </c>
      <c r="P128" s="12">
        <f>IF(OR(L128="",M128=""),0,MAX(0,ROUND((M128-L128)*24-G128,2)))</f>
      </c>
      <c r="Q128" s="12">
        <f>IF(P128=0,0,MIN(P128,'00_Parametres'!$B$23))</f>
      </c>
      <c r="R128" s="12">
        <f>IF(P128=0,0,MAX(0,P128-'00_Parametres'!$B$23))</f>
      </c>
      <c r="S128" s="10"/>
      <c r="T128" s="10"/>
      <c r="U128" s="10"/>
    </row>
    <row r="129" spans="1:21" x14ac:dyDescent="0.25">
      <c r="A129" s="18"/>
      <c r="B129" s="18"/>
      <c r="C129" s="9">
        <f>IF(B129="","",IFERROR(VLOOKUP(B129,'01_Employes'!$A$6:$Q$30,4,FALSE),"⚠ ID inconnu"))</f>
      </c>
      <c r="D129" s="9">
        <f>IF(A129="","",TEXT(A129,"dddd"))</f>
      </c>
      <c r="E129" s="24">
        <f>IF(A129="","",IFERROR(INDEX('00_Parametres'!$C$7:$C$13,WEEKDAY(A129,2)),""))</f>
      </c>
      <c r="F129" s="24">
        <f>IF(A129="","",IFERROR(INDEX('00_Parametres'!$D$7:$D$13,WEEKDAY(A129,2)),""))</f>
      </c>
      <c r="G129" s="24">
        <f>IF(A129="","",IFERROR(INDEX('00_Parametres'!$E$7:$E$13,WEEKDAY(A129,2)),0))</f>
      </c>
      <c r="H129" s="11"/>
      <c r="I129" s="11"/>
      <c r="J129" s="11"/>
      <c r="K129" s="11"/>
      <c r="L129" s="12">
        <f>IF(OR(A129="",H129=""),"",IF(H129&lt;E129,IF(OR(J129="Oui",'00_Parametres'!$B$28="Oui"),H129,E129),H129))</f>
      </c>
      <c r="M129" s="12">
        <f>IF(OR(A129="",I129=""),"",IF(I129&gt;F129,IF(OR(K129="Oui",'00_Parametres'!$B$29="Oui"),I129,F129),I129))</f>
      </c>
      <c r="N129" s="25">
        <f>IF(OR(A129="",H129="",E129=""),0,MAX(0,ROUND((H129-E129)*1440,0)))</f>
      </c>
      <c r="O129" s="25">
        <f>IF(OR(A129="",I129="",F129=""),0,MAX(0,ROUND((F129-I129)*1440,0)))</f>
      </c>
      <c r="P129" s="12">
        <f>IF(OR(L129="",M129=""),0,MAX(0,ROUND((M129-L129)*24-G129,2)))</f>
      </c>
      <c r="Q129" s="12">
        <f>IF(P129=0,0,MIN(P129,'00_Parametres'!$B$23))</f>
      </c>
      <c r="R129" s="12">
        <f>IF(P129=0,0,MAX(0,P129-'00_Parametres'!$B$23))</f>
      </c>
      <c r="S129" s="10"/>
      <c r="T129" s="10"/>
      <c r="U129" s="10"/>
    </row>
    <row r="130" spans="1:21" x14ac:dyDescent="0.25">
      <c r="A130" s="18"/>
      <c r="B130" s="18"/>
      <c r="C130" s="9">
        <f>IF(B130="","",IFERROR(VLOOKUP(B130,'01_Employes'!$A$6:$Q$30,4,FALSE),"⚠ ID inconnu"))</f>
      </c>
      <c r="D130" s="9">
        <f>IF(A130="","",TEXT(A130,"dddd"))</f>
      </c>
      <c r="E130" s="24">
        <f>IF(A130="","",IFERROR(INDEX('00_Parametres'!$C$7:$C$13,WEEKDAY(A130,2)),""))</f>
      </c>
      <c r="F130" s="24">
        <f>IF(A130="","",IFERROR(INDEX('00_Parametres'!$D$7:$D$13,WEEKDAY(A130,2)),""))</f>
      </c>
      <c r="G130" s="24">
        <f>IF(A130="","",IFERROR(INDEX('00_Parametres'!$E$7:$E$13,WEEKDAY(A130,2)),0))</f>
      </c>
      <c r="H130" s="11"/>
      <c r="I130" s="11"/>
      <c r="J130" s="11"/>
      <c r="K130" s="11"/>
      <c r="L130" s="12">
        <f>IF(OR(A130="",H130=""),"",IF(H130&lt;E130,IF(OR(J130="Oui",'00_Parametres'!$B$28="Oui"),H130,E130),H130))</f>
      </c>
      <c r="M130" s="12">
        <f>IF(OR(A130="",I130=""),"",IF(I130&gt;F130,IF(OR(K130="Oui",'00_Parametres'!$B$29="Oui"),I130,F130),I130))</f>
      </c>
      <c r="N130" s="25">
        <f>IF(OR(A130="",H130="",E130=""),0,MAX(0,ROUND((H130-E130)*1440,0)))</f>
      </c>
      <c r="O130" s="25">
        <f>IF(OR(A130="",I130="",F130=""),0,MAX(0,ROUND((F130-I130)*1440,0)))</f>
      </c>
      <c r="P130" s="12">
        <f>IF(OR(L130="",M130=""),0,MAX(0,ROUND((M130-L130)*24-G130,2)))</f>
      </c>
      <c r="Q130" s="12">
        <f>IF(P130=0,0,MIN(P130,'00_Parametres'!$B$23))</f>
      </c>
      <c r="R130" s="12">
        <f>IF(P130=0,0,MAX(0,P130-'00_Parametres'!$B$23))</f>
      </c>
      <c r="S130" s="10"/>
      <c r="T130" s="10"/>
      <c r="U130" s="10"/>
    </row>
    <row r="131" spans="1:21" x14ac:dyDescent="0.25">
      <c r="A131" s="18"/>
      <c r="B131" s="18"/>
      <c r="C131" s="9">
        <f>IF(B131="","",IFERROR(VLOOKUP(B131,'01_Employes'!$A$6:$Q$30,4,FALSE),"⚠ ID inconnu"))</f>
      </c>
      <c r="D131" s="9">
        <f>IF(A131="","",TEXT(A131,"dddd"))</f>
      </c>
      <c r="E131" s="24">
        <f>IF(A131="","",IFERROR(INDEX('00_Parametres'!$C$7:$C$13,WEEKDAY(A131,2)),""))</f>
      </c>
      <c r="F131" s="24">
        <f>IF(A131="","",IFERROR(INDEX('00_Parametres'!$D$7:$D$13,WEEKDAY(A131,2)),""))</f>
      </c>
      <c r="G131" s="24">
        <f>IF(A131="","",IFERROR(INDEX('00_Parametres'!$E$7:$E$13,WEEKDAY(A131,2)),0))</f>
      </c>
      <c r="H131" s="11"/>
      <c r="I131" s="11"/>
      <c r="J131" s="11"/>
      <c r="K131" s="11"/>
      <c r="L131" s="12">
        <f>IF(OR(A131="",H131=""),"",IF(H131&lt;E131,IF(OR(J131="Oui",'00_Parametres'!$B$28="Oui"),H131,E131),H131))</f>
      </c>
      <c r="M131" s="12">
        <f>IF(OR(A131="",I131=""),"",IF(I131&gt;F131,IF(OR(K131="Oui",'00_Parametres'!$B$29="Oui"),I131,F131),I131))</f>
      </c>
      <c r="N131" s="25">
        <f>IF(OR(A131="",H131="",E131=""),0,MAX(0,ROUND((H131-E131)*1440,0)))</f>
      </c>
      <c r="O131" s="25">
        <f>IF(OR(A131="",I131="",F131=""),0,MAX(0,ROUND((F131-I131)*1440,0)))</f>
      </c>
      <c r="P131" s="12">
        <f>IF(OR(L131="",M131=""),0,MAX(0,ROUND((M131-L131)*24-G131,2)))</f>
      </c>
      <c r="Q131" s="12">
        <f>IF(P131=0,0,MIN(P131,'00_Parametres'!$B$23))</f>
      </c>
      <c r="R131" s="12">
        <f>IF(P131=0,0,MAX(0,P131-'00_Parametres'!$B$23))</f>
      </c>
      <c r="S131" s="10"/>
      <c r="T131" s="10"/>
      <c r="U131" s="10"/>
    </row>
    <row r="132" spans="1:21" x14ac:dyDescent="0.25">
      <c r="A132" s="18"/>
      <c r="B132" s="18"/>
      <c r="C132" s="9">
        <f>IF(B132="","",IFERROR(VLOOKUP(B132,'01_Employes'!$A$6:$Q$30,4,FALSE),"⚠ ID inconnu"))</f>
      </c>
      <c r="D132" s="9">
        <f>IF(A132="","",TEXT(A132,"dddd"))</f>
      </c>
      <c r="E132" s="24">
        <f>IF(A132="","",IFERROR(INDEX('00_Parametres'!$C$7:$C$13,WEEKDAY(A132,2)),""))</f>
      </c>
      <c r="F132" s="24">
        <f>IF(A132="","",IFERROR(INDEX('00_Parametres'!$D$7:$D$13,WEEKDAY(A132,2)),""))</f>
      </c>
      <c r="G132" s="24">
        <f>IF(A132="","",IFERROR(INDEX('00_Parametres'!$E$7:$E$13,WEEKDAY(A132,2)),0))</f>
      </c>
      <c r="H132" s="11"/>
      <c r="I132" s="11"/>
      <c r="J132" s="11"/>
      <c r="K132" s="11"/>
      <c r="L132" s="12">
        <f>IF(OR(A132="",H132=""),"",IF(H132&lt;E132,IF(OR(J132="Oui",'00_Parametres'!$B$28="Oui"),H132,E132),H132))</f>
      </c>
      <c r="M132" s="12">
        <f>IF(OR(A132="",I132=""),"",IF(I132&gt;F132,IF(OR(K132="Oui",'00_Parametres'!$B$29="Oui"),I132,F132),I132))</f>
      </c>
      <c r="N132" s="25">
        <f>IF(OR(A132="",H132="",E132=""),0,MAX(0,ROUND((H132-E132)*1440,0)))</f>
      </c>
      <c r="O132" s="25">
        <f>IF(OR(A132="",I132="",F132=""),0,MAX(0,ROUND((F132-I132)*1440,0)))</f>
      </c>
      <c r="P132" s="12">
        <f>IF(OR(L132="",M132=""),0,MAX(0,ROUND((M132-L132)*24-G132,2)))</f>
      </c>
      <c r="Q132" s="12">
        <f>IF(P132=0,0,MIN(P132,'00_Parametres'!$B$23))</f>
      </c>
      <c r="R132" s="12">
        <f>IF(P132=0,0,MAX(0,P132-'00_Parametres'!$B$23))</f>
      </c>
      <c r="S132" s="10"/>
      <c r="T132" s="10"/>
      <c r="U132" s="10"/>
    </row>
    <row r="133" spans="1:21" x14ac:dyDescent="0.25">
      <c r="A133" s="18"/>
      <c r="B133" s="18"/>
      <c r="C133" s="9">
        <f>IF(B133="","",IFERROR(VLOOKUP(B133,'01_Employes'!$A$6:$Q$30,4,FALSE),"⚠ ID inconnu"))</f>
      </c>
      <c r="D133" s="9">
        <f>IF(A133="","",TEXT(A133,"dddd"))</f>
      </c>
      <c r="E133" s="24">
        <f>IF(A133="","",IFERROR(INDEX('00_Parametres'!$C$7:$C$13,WEEKDAY(A133,2)),""))</f>
      </c>
      <c r="F133" s="24">
        <f>IF(A133="","",IFERROR(INDEX('00_Parametres'!$D$7:$D$13,WEEKDAY(A133,2)),""))</f>
      </c>
      <c r="G133" s="24">
        <f>IF(A133="","",IFERROR(INDEX('00_Parametres'!$E$7:$E$13,WEEKDAY(A133,2)),0))</f>
      </c>
      <c r="H133" s="11"/>
      <c r="I133" s="11"/>
      <c r="J133" s="11"/>
      <c r="K133" s="11"/>
      <c r="L133" s="12">
        <f>IF(OR(A133="",H133=""),"",IF(H133&lt;E133,IF(OR(J133="Oui",'00_Parametres'!$B$28="Oui"),H133,E133),H133))</f>
      </c>
      <c r="M133" s="12">
        <f>IF(OR(A133="",I133=""),"",IF(I133&gt;F133,IF(OR(K133="Oui",'00_Parametres'!$B$29="Oui"),I133,F133),I133))</f>
      </c>
      <c r="N133" s="25">
        <f>IF(OR(A133="",H133="",E133=""),0,MAX(0,ROUND((H133-E133)*1440,0)))</f>
      </c>
      <c r="O133" s="25">
        <f>IF(OR(A133="",I133="",F133=""),0,MAX(0,ROUND((F133-I133)*1440,0)))</f>
      </c>
      <c r="P133" s="12">
        <f>IF(OR(L133="",M133=""),0,MAX(0,ROUND((M133-L133)*24-G133,2)))</f>
      </c>
      <c r="Q133" s="12">
        <f>IF(P133=0,0,MIN(P133,'00_Parametres'!$B$23))</f>
      </c>
      <c r="R133" s="12">
        <f>IF(P133=0,0,MAX(0,P133-'00_Parametres'!$B$23))</f>
      </c>
      <c r="S133" s="10"/>
      <c r="T133" s="10"/>
      <c r="U133" s="10"/>
    </row>
    <row r="134" spans="1:21" x14ac:dyDescent="0.25">
      <c r="A134" s="18"/>
      <c r="B134" s="18"/>
      <c r="C134" s="9">
        <f>IF(B134="","",IFERROR(VLOOKUP(B134,'01_Employes'!$A$6:$Q$30,4,FALSE),"⚠ ID inconnu"))</f>
      </c>
      <c r="D134" s="9">
        <f>IF(A134="","",TEXT(A134,"dddd"))</f>
      </c>
      <c r="E134" s="24">
        <f>IF(A134="","",IFERROR(INDEX('00_Parametres'!$C$7:$C$13,WEEKDAY(A134,2)),""))</f>
      </c>
      <c r="F134" s="24">
        <f>IF(A134="","",IFERROR(INDEX('00_Parametres'!$D$7:$D$13,WEEKDAY(A134,2)),""))</f>
      </c>
      <c r="G134" s="24">
        <f>IF(A134="","",IFERROR(INDEX('00_Parametres'!$E$7:$E$13,WEEKDAY(A134,2)),0))</f>
      </c>
      <c r="H134" s="11"/>
      <c r="I134" s="11"/>
      <c r="J134" s="11"/>
      <c r="K134" s="11"/>
      <c r="L134" s="12">
        <f>IF(OR(A134="",H134=""),"",IF(H134&lt;E134,IF(OR(J134="Oui",'00_Parametres'!$B$28="Oui"),H134,E134),H134))</f>
      </c>
      <c r="M134" s="12">
        <f>IF(OR(A134="",I134=""),"",IF(I134&gt;F134,IF(OR(K134="Oui",'00_Parametres'!$B$29="Oui"),I134,F134),I134))</f>
      </c>
      <c r="N134" s="25">
        <f>IF(OR(A134="",H134="",E134=""),0,MAX(0,ROUND((H134-E134)*1440,0)))</f>
      </c>
      <c r="O134" s="25">
        <f>IF(OR(A134="",I134="",F134=""),0,MAX(0,ROUND((F134-I134)*1440,0)))</f>
      </c>
      <c r="P134" s="12">
        <f>IF(OR(L134="",M134=""),0,MAX(0,ROUND((M134-L134)*24-G134,2)))</f>
      </c>
      <c r="Q134" s="12">
        <f>IF(P134=0,0,MIN(P134,'00_Parametres'!$B$23))</f>
      </c>
      <c r="R134" s="12">
        <f>IF(P134=0,0,MAX(0,P134-'00_Parametres'!$B$23))</f>
      </c>
      <c r="S134" s="10"/>
      <c r="T134" s="10"/>
      <c r="U134" s="10"/>
    </row>
    <row r="135" spans="1:21" x14ac:dyDescent="0.25">
      <c r="A135" s="18"/>
      <c r="B135" s="18"/>
      <c r="C135" s="9">
        <f>IF(B135="","",IFERROR(VLOOKUP(B135,'01_Employes'!$A$6:$Q$30,4,FALSE),"⚠ ID inconnu"))</f>
      </c>
      <c r="D135" s="9">
        <f>IF(A135="","",TEXT(A135,"dddd"))</f>
      </c>
      <c r="E135" s="24">
        <f>IF(A135="","",IFERROR(INDEX('00_Parametres'!$C$7:$C$13,WEEKDAY(A135,2)),""))</f>
      </c>
      <c r="F135" s="24">
        <f>IF(A135="","",IFERROR(INDEX('00_Parametres'!$D$7:$D$13,WEEKDAY(A135,2)),""))</f>
      </c>
      <c r="G135" s="24">
        <f>IF(A135="","",IFERROR(INDEX('00_Parametres'!$E$7:$E$13,WEEKDAY(A135,2)),0))</f>
      </c>
      <c r="H135" s="11"/>
      <c r="I135" s="11"/>
      <c r="J135" s="11"/>
      <c r="K135" s="11"/>
      <c r="L135" s="12">
        <f>IF(OR(A135="",H135=""),"",IF(H135&lt;E135,IF(OR(J135="Oui",'00_Parametres'!$B$28="Oui"),H135,E135),H135))</f>
      </c>
      <c r="M135" s="12">
        <f>IF(OR(A135="",I135=""),"",IF(I135&gt;F135,IF(OR(K135="Oui",'00_Parametres'!$B$29="Oui"),I135,F135),I135))</f>
      </c>
      <c r="N135" s="25">
        <f>IF(OR(A135="",H135="",E135=""),0,MAX(0,ROUND((H135-E135)*1440,0)))</f>
      </c>
      <c r="O135" s="25">
        <f>IF(OR(A135="",I135="",F135=""),0,MAX(0,ROUND((F135-I135)*1440,0)))</f>
      </c>
      <c r="P135" s="12">
        <f>IF(OR(L135="",M135=""),0,MAX(0,ROUND((M135-L135)*24-G135,2)))</f>
      </c>
      <c r="Q135" s="12">
        <f>IF(P135=0,0,MIN(P135,'00_Parametres'!$B$23))</f>
      </c>
      <c r="R135" s="12">
        <f>IF(P135=0,0,MAX(0,P135-'00_Parametres'!$B$23))</f>
      </c>
      <c r="S135" s="10"/>
      <c r="T135" s="10"/>
      <c r="U135" s="10"/>
    </row>
    <row r="136" spans="1:21" x14ac:dyDescent="0.25">
      <c r="A136" s="18"/>
      <c r="B136" s="18"/>
      <c r="C136" s="9">
        <f>IF(B136="","",IFERROR(VLOOKUP(B136,'01_Employes'!$A$6:$Q$30,4,FALSE),"⚠ ID inconnu"))</f>
      </c>
      <c r="D136" s="9">
        <f>IF(A136="","",TEXT(A136,"dddd"))</f>
      </c>
      <c r="E136" s="24">
        <f>IF(A136="","",IFERROR(INDEX('00_Parametres'!$C$7:$C$13,WEEKDAY(A136,2)),""))</f>
      </c>
      <c r="F136" s="24">
        <f>IF(A136="","",IFERROR(INDEX('00_Parametres'!$D$7:$D$13,WEEKDAY(A136,2)),""))</f>
      </c>
      <c r="G136" s="24">
        <f>IF(A136="","",IFERROR(INDEX('00_Parametres'!$E$7:$E$13,WEEKDAY(A136,2)),0))</f>
      </c>
      <c r="H136" s="11"/>
      <c r="I136" s="11"/>
      <c r="J136" s="11"/>
      <c r="K136" s="11"/>
      <c r="L136" s="12">
        <f>IF(OR(A136="",H136=""),"",IF(H136&lt;E136,IF(OR(J136="Oui",'00_Parametres'!$B$28="Oui"),H136,E136),H136))</f>
      </c>
      <c r="M136" s="12">
        <f>IF(OR(A136="",I136=""),"",IF(I136&gt;F136,IF(OR(K136="Oui",'00_Parametres'!$B$29="Oui"),I136,F136),I136))</f>
      </c>
      <c r="N136" s="25">
        <f>IF(OR(A136="",H136="",E136=""),0,MAX(0,ROUND((H136-E136)*1440,0)))</f>
      </c>
      <c r="O136" s="25">
        <f>IF(OR(A136="",I136="",F136=""),0,MAX(0,ROUND((F136-I136)*1440,0)))</f>
      </c>
      <c r="P136" s="12">
        <f>IF(OR(L136="",M136=""),0,MAX(0,ROUND((M136-L136)*24-G136,2)))</f>
      </c>
      <c r="Q136" s="12">
        <f>IF(P136=0,0,MIN(P136,'00_Parametres'!$B$23))</f>
      </c>
      <c r="R136" s="12">
        <f>IF(P136=0,0,MAX(0,P136-'00_Parametres'!$B$23))</f>
      </c>
      <c r="S136" s="10"/>
      <c r="T136" s="10"/>
      <c r="U136" s="10"/>
    </row>
    <row r="137" spans="1:21" x14ac:dyDescent="0.25">
      <c r="A137" s="18"/>
      <c r="B137" s="18"/>
      <c r="C137" s="9">
        <f>IF(B137="","",IFERROR(VLOOKUP(B137,'01_Employes'!$A$6:$Q$30,4,FALSE),"⚠ ID inconnu"))</f>
      </c>
      <c r="D137" s="9">
        <f>IF(A137="","",TEXT(A137,"dddd"))</f>
      </c>
      <c r="E137" s="24">
        <f>IF(A137="","",IFERROR(INDEX('00_Parametres'!$C$7:$C$13,WEEKDAY(A137,2)),""))</f>
      </c>
      <c r="F137" s="24">
        <f>IF(A137="","",IFERROR(INDEX('00_Parametres'!$D$7:$D$13,WEEKDAY(A137,2)),""))</f>
      </c>
      <c r="G137" s="24">
        <f>IF(A137="","",IFERROR(INDEX('00_Parametres'!$E$7:$E$13,WEEKDAY(A137,2)),0))</f>
      </c>
      <c r="H137" s="11"/>
      <c r="I137" s="11"/>
      <c r="J137" s="11"/>
      <c r="K137" s="11"/>
      <c r="L137" s="12">
        <f>IF(OR(A137="",H137=""),"",IF(H137&lt;E137,IF(OR(J137="Oui",'00_Parametres'!$B$28="Oui"),H137,E137),H137))</f>
      </c>
      <c r="M137" s="12">
        <f>IF(OR(A137="",I137=""),"",IF(I137&gt;F137,IF(OR(K137="Oui",'00_Parametres'!$B$29="Oui"),I137,F137),I137))</f>
      </c>
      <c r="N137" s="25">
        <f>IF(OR(A137="",H137="",E137=""),0,MAX(0,ROUND((H137-E137)*1440,0)))</f>
      </c>
      <c r="O137" s="25">
        <f>IF(OR(A137="",I137="",F137=""),0,MAX(0,ROUND((F137-I137)*1440,0)))</f>
      </c>
      <c r="P137" s="12">
        <f>IF(OR(L137="",M137=""),0,MAX(0,ROUND((M137-L137)*24-G137,2)))</f>
      </c>
      <c r="Q137" s="12">
        <f>IF(P137=0,0,MIN(P137,'00_Parametres'!$B$23))</f>
      </c>
      <c r="R137" s="12">
        <f>IF(P137=0,0,MAX(0,P137-'00_Parametres'!$B$23))</f>
      </c>
      <c r="S137" s="10"/>
      <c r="T137" s="10"/>
      <c r="U137" s="10"/>
    </row>
    <row r="138" spans="1:21" x14ac:dyDescent="0.25">
      <c r="A138" s="18"/>
      <c r="B138" s="18"/>
      <c r="C138" s="9">
        <f>IF(B138="","",IFERROR(VLOOKUP(B138,'01_Employes'!$A$6:$Q$30,4,FALSE),"⚠ ID inconnu"))</f>
      </c>
      <c r="D138" s="9">
        <f>IF(A138="","",TEXT(A138,"dddd"))</f>
      </c>
      <c r="E138" s="24">
        <f>IF(A138="","",IFERROR(INDEX('00_Parametres'!$C$7:$C$13,WEEKDAY(A138,2)),""))</f>
      </c>
      <c r="F138" s="24">
        <f>IF(A138="","",IFERROR(INDEX('00_Parametres'!$D$7:$D$13,WEEKDAY(A138,2)),""))</f>
      </c>
      <c r="G138" s="24">
        <f>IF(A138="","",IFERROR(INDEX('00_Parametres'!$E$7:$E$13,WEEKDAY(A138,2)),0))</f>
      </c>
      <c r="H138" s="11"/>
      <c r="I138" s="11"/>
      <c r="J138" s="11"/>
      <c r="K138" s="11"/>
      <c r="L138" s="12">
        <f>IF(OR(A138="",H138=""),"",IF(H138&lt;E138,IF(OR(J138="Oui",'00_Parametres'!$B$28="Oui"),H138,E138),H138))</f>
      </c>
      <c r="M138" s="12">
        <f>IF(OR(A138="",I138=""),"",IF(I138&gt;F138,IF(OR(K138="Oui",'00_Parametres'!$B$29="Oui"),I138,F138),I138))</f>
      </c>
      <c r="N138" s="25">
        <f>IF(OR(A138="",H138="",E138=""),0,MAX(0,ROUND((H138-E138)*1440,0)))</f>
      </c>
      <c r="O138" s="25">
        <f>IF(OR(A138="",I138="",F138=""),0,MAX(0,ROUND((F138-I138)*1440,0)))</f>
      </c>
      <c r="P138" s="12">
        <f>IF(OR(L138="",M138=""),0,MAX(0,ROUND((M138-L138)*24-G138,2)))</f>
      </c>
      <c r="Q138" s="12">
        <f>IF(P138=0,0,MIN(P138,'00_Parametres'!$B$23))</f>
      </c>
      <c r="R138" s="12">
        <f>IF(P138=0,0,MAX(0,P138-'00_Parametres'!$B$23))</f>
      </c>
      <c r="S138" s="10"/>
      <c r="T138" s="10"/>
      <c r="U138" s="10"/>
    </row>
    <row r="139" spans="1:21" x14ac:dyDescent="0.25">
      <c r="A139" s="18"/>
      <c r="B139" s="18"/>
      <c r="C139" s="9">
        <f>IF(B139="","",IFERROR(VLOOKUP(B139,'01_Employes'!$A$6:$Q$30,4,FALSE),"⚠ ID inconnu"))</f>
      </c>
      <c r="D139" s="9">
        <f>IF(A139="","",TEXT(A139,"dddd"))</f>
      </c>
      <c r="E139" s="24">
        <f>IF(A139="","",IFERROR(INDEX('00_Parametres'!$C$7:$C$13,WEEKDAY(A139,2)),""))</f>
      </c>
      <c r="F139" s="24">
        <f>IF(A139="","",IFERROR(INDEX('00_Parametres'!$D$7:$D$13,WEEKDAY(A139,2)),""))</f>
      </c>
      <c r="G139" s="24">
        <f>IF(A139="","",IFERROR(INDEX('00_Parametres'!$E$7:$E$13,WEEKDAY(A139,2)),0))</f>
      </c>
      <c r="H139" s="11"/>
      <c r="I139" s="11"/>
      <c r="J139" s="11"/>
      <c r="K139" s="11"/>
      <c r="L139" s="12">
        <f>IF(OR(A139="",H139=""),"",IF(H139&lt;E139,IF(OR(J139="Oui",'00_Parametres'!$B$28="Oui"),H139,E139),H139))</f>
      </c>
      <c r="M139" s="12">
        <f>IF(OR(A139="",I139=""),"",IF(I139&gt;F139,IF(OR(K139="Oui",'00_Parametres'!$B$29="Oui"),I139,F139),I139))</f>
      </c>
      <c r="N139" s="25">
        <f>IF(OR(A139="",H139="",E139=""),0,MAX(0,ROUND((H139-E139)*1440,0)))</f>
      </c>
      <c r="O139" s="25">
        <f>IF(OR(A139="",I139="",F139=""),0,MAX(0,ROUND((F139-I139)*1440,0)))</f>
      </c>
      <c r="P139" s="12">
        <f>IF(OR(L139="",M139=""),0,MAX(0,ROUND((M139-L139)*24-G139,2)))</f>
      </c>
      <c r="Q139" s="12">
        <f>IF(P139=0,0,MIN(P139,'00_Parametres'!$B$23))</f>
      </c>
      <c r="R139" s="12">
        <f>IF(P139=0,0,MAX(0,P139-'00_Parametres'!$B$23))</f>
      </c>
      <c r="S139" s="10"/>
      <c r="T139" s="10"/>
      <c r="U139" s="10"/>
    </row>
    <row r="140" spans="1:21" x14ac:dyDescent="0.25">
      <c r="A140" s="18"/>
      <c r="B140" s="18"/>
      <c r="C140" s="9">
        <f>IF(B140="","",IFERROR(VLOOKUP(B140,'01_Employes'!$A$6:$Q$30,4,FALSE),"⚠ ID inconnu"))</f>
      </c>
      <c r="D140" s="9">
        <f>IF(A140="","",TEXT(A140,"dddd"))</f>
      </c>
      <c r="E140" s="24">
        <f>IF(A140="","",IFERROR(INDEX('00_Parametres'!$C$7:$C$13,WEEKDAY(A140,2)),""))</f>
      </c>
      <c r="F140" s="24">
        <f>IF(A140="","",IFERROR(INDEX('00_Parametres'!$D$7:$D$13,WEEKDAY(A140,2)),""))</f>
      </c>
      <c r="G140" s="24">
        <f>IF(A140="","",IFERROR(INDEX('00_Parametres'!$E$7:$E$13,WEEKDAY(A140,2)),0))</f>
      </c>
      <c r="H140" s="11"/>
      <c r="I140" s="11"/>
      <c r="J140" s="11"/>
      <c r="K140" s="11"/>
      <c r="L140" s="12">
        <f>IF(OR(A140="",H140=""),"",IF(H140&lt;E140,IF(OR(J140="Oui",'00_Parametres'!$B$28="Oui"),H140,E140),H140))</f>
      </c>
      <c r="M140" s="12">
        <f>IF(OR(A140="",I140=""),"",IF(I140&gt;F140,IF(OR(K140="Oui",'00_Parametres'!$B$29="Oui"),I140,F140),I140))</f>
      </c>
      <c r="N140" s="25">
        <f>IF(OR(A140="",H140="",E140=""),0,MAX(0,ROUND((H140-E140)*1440,0)))</f>
      </c>
      <c r="O140" s="25">
        <f>IF(OR(A140="",I140="",F140=""),0,MAX(0,ROUND((F140-I140)*1440,0)))</f>
      </c>
      <c r="P140" s="12">
        <f>IF(OR(L140="",M140=""),0,MAX(0,ROUND((M140-L140)*24-G140,2)))</f>
      </c>
      <c r="Q140" s="12">
        <f>IF(P140=0,0,MIN(P140,'00_Parametres'!$B$23))</f>
      </c>
      <c r="R140" s="12">
        <f>IF(P140=0,0,MAX(0,P140-'00_Parametres'!$B$23))</f>
      </c>
      <c r="S140" s="10"/>
      <c r="T140" s="10"/>
      <c r="U140" s="10"/>
    </row>
    <row r="141" spans="1:21" x14ac:dyDescent="0.25">
      <c r="A141" s="18"/>
      <c r="B141" s="18"/>
      <c r="C141" s="9">
        <f>IF(B141="","",IFERROR(VLOOKUP(B141,'01_Employes'!$A$6:$Q$30,4,FALSE),"⚠ ID inconnu"))</f>
      </c>
      <c r="D141" s="9">
        <f>IF(A141="","",TEXT(A141,"dddd"))</f>
      </c>
      <c r="E141" s="24">
        <f>IF(A141="","",IFERROR(INDEX('00_Parametres'!$C$7:$C$13,WEEKDAY(A141,2)),""))</f>
      </c>
      <c r="F141" s="24">
        <f>IF(A141="","",IFERROR(INDEX('00_Parametres'!$D$7:$D$13,WEEKDAY(A141,2)),""))</f>
      </c>
      <c r="G141" s="24">
        <f>IF(A141="","",IFERROR(INDEX('00_Parametres'!$E$7:$E$13,WEEKDAY(A141,2)),0))</f>
      </c>
      <c r="H141" s="11"/>
      <c r="I141" s="11"/>
      <c r="J141" s="11"/>
      <c r="K141" s="11"/>
      <c r="L141" s="12">
        <f>IF(OR(A141="",H141=""),"",IF(H141&lt;E141,IF(OR(J141="Oui",'00_Parametres'!$B$28="Oui"),H141,E141),H141))</f>
      </c>
      <c r="M141" s="12">
        <f>IF(OR(A141="",I141=""),"",IF(I141&gt;F141,IF(OR(K141="Oui",'00_Parametres'!$B$29="Oui"),I141,F141),I141))</f>
      </c>
      <c r="N141" s="25">
        <f>IF(OR(A141="",H141="",E141=""),0,MAX(0,ROUND((H141-E141)*1440,0)))</f>
      </c>
      <c r="O141" s="25">
        <f>IF(OR(A141="",I141="",F141=""),0,MAX(0,ROUND((F141-I141)*1440,0)))</f>
      </c>
      <c r="P141" s="12">
        <f>IF(OR(L141="",M141=""),0,MAX(0,ROUND((M141-L141)*24-G141,2)))</f>
      </c>
      <c r="Q141" s="12">
        <f>IF(P141=0,0,MIN(P141,'00_Parametres'!$B$23))</f>
      </c>
      <c r="R141" s="12">
        <f>IF(P141=0,0,MAX(0,P141-'00_Parametres'!$B$23))</f>
      </c>
      <c r="S141" s="10"/>
      <c r="T141" s="10"/>
      <c r="U141" s="10"/>
    </row>
    <row r="142" spans="1:21" x14ac:dyDescent="0.25">
      <c r="A142" s="18"/>
      <c r="B142" s="18"/>
      <c r="C142" s="9">
        <f>IF(B142="","",IFERROR(VLOOKUP(B142,'01_Employes'!$A$6:$Q$30,4,FALSE),"⚠ ID inconnu"))</f>
      </c>
      <c r="D142" s="9">
        <f>IF(A142="","",TEXT(A142,"dddd"))</f>
      </c>
      <c r="E142" s="24">
        <f>IF(A142="","",IFERROR(INDEX('00_Parametres'!$C$7:$C$13,WEEKDAY(A142,2)),""))</f>
      </c>
      <c r="F142" s="24">
        <f>IF(A142="","",IFERROR(INDEX('00_Parametres'!$D$7:$D$13,WEEKDAY(A142,2)),""))</f>
      </c>
      <c r="G142" s="24">
        <f>IF(A142="","",IFERROR(INDEX('00_Parametres'!$E$7:$E$13,WEEKDAY(A142,2)),0))</f>
      </c>
      <c r="H142" s="11"/>
      <c r="I142" s="11"/>
      <c r="J142" s="11"/>
      <c r="K142" s="11"/>
      <c r="L142" s="12">
        <f>IF(OR(A142="",H142=""),"",IF(H142&lt;E142,IF(OR(J142="Oui",'00_Parametres'!$B$28="Oui"),H142,E142),H142))</f>
      </c>
      <c r="M142" s="12">
        <f>IF(OR(A142="",I142=""),"",IF(I142&gt;F142,IF(OR(K142="Oui",'00_Parametres'!$B$29="Oui"),I142,F142),I142))</f>
      </c>
      <c r="N142" s="25">
        <f>IF(OR(A142="",H142="",E142=""),0,MAX(0,ROUND((H142-E142)*1440,0)))</f>
      </c>
      <c r="O142" s="25">
        <f>IF(OR(A142="",I142="",F142=""),0,MAX(0,ROUND((F142-I142)*1440,0)))</f>
      </c>
      <c r="P142" s="12">
        <f>IF(OR(L142="",M142=""),0,MAX(0,ROUND((M142-L142)*24-G142,2)))</f>
      </c>
      <c r="Q142" s="12">
        <f>IF(P142=0,0,MIN(P142,'00_Parametres'!$B$23))</f>
      </c>
      <c r="R142" s="12">
        <f>IF(P142=0,0,MAX(0,P142-'00_Parametres'!$B$23))</f>
      </c>
      <c r="S142" s="10"/>
      <c r="T142" s="10"/>
      <c r="U142" s="10"/>
    </row>
    <row r="143" spans="1:21" x14ac:dyDescent="0.25">
      <c r="A143" s="18"/>
      <c r="B143" s="18"/>
      <c r="C143" s="9">
        <f>IF(B143="","",IFERROR(VLOOKUP(B143,'01_Employes'!$A$6:$Q$30,4,FALSE),"⚠ ID inconnu"))</f>
      </c>
      <c r="D143" s="9">
        <f>IF(A143="","",TEXT(A143,"dddd"))</f>
      </c>
      <c r="E143" s="24">
        <f>IF(A143="","",IFERROR(INDEX('00_Parametres'!$C$7:$C$13,WEEKDAY(A143,2)),""))</f>
      </c>
      <c r="F143" s="24">
        <f>IF(A143="","",IFERROR(INDEX('00_Parametres'!$D$7:$D$13,WEEKDAY(A143,2)),""))</f>
      </c>
      <c r="G143" s="24">
        <f>IF(A143="","",IFERROR(INDEX('00_Parametres'!$E$7:$E$13,WEEKDAY(A143,2)),0))</f>
      </c>
      <c r="H143" s="11"/>
      <c r="I143" s="11"/>
      <c r="J143" s="11"/>
      <c r="K143" s="11"/>
      <c r="L143" s="12">
        <f>IF(OR(A143="",H143=""),"",IF(H143&lt;E143,IF(OR(J143="Oui",'00_Parametres'!$B$28="Oui"),H143,E143),H143))</f>
      </c>
      <c r="M143" s="12">
        <f>IF(OR(A143="",I143=""),"",IF(I143&gt;F143,IF(OR(K143="Oui",'00_Parametres'!$B$29="Oui"),I143,F143),I143))</f>
      </c>
      <c r="N143" s="25">
        <f>IF(OR(A143="",H143="",E143=""),0,MAX(0,ROUND((H143-E143)*1440,0)))</f>
      </c>
      <c r="O143" s="25">
        <f>IF(OR(A143="",I143="",F143=""),0,MAX(0,ROUND((F143-I143)*1440,0)))</f>
      </c>
      <c r="P143" s="12">
        <f>IF(OR(L143="",M143=""),0,MAX(0,ROUND((M143-L143)*24-G143,2)))</f>
      </c>
      <c r="Q143" s="12">
        <f>IF(P143=0,0,MIN(P143,'00_Parametres'!$B$23))</f>
      </c>
      <c r="R143" s="12">
        <f>IF(P143=0,0,MAX(0,P143-'00_Parametres'!$B$23))</f>
      </c>
      <c r="S143" s="10"/>
      <c r="T143" s="10"/>
      <c r="U143" s="10"/>
    </row>
    <row r="144" spans="1:21" x14ac:dyDescent="0.25">
      <c r="A144" s="18"/>
      <c r="B144" s="18"/>
      <c r="C144" s="9">
        <f>IF(B144="","",IFERROR(VLOOKUP(B144,'01_Employes'!$A$6:$Q$30,4,FALSE),"⚠ ID inconnu"))</f>
      </c>
      <c r="D144" s="9">
        <f>IF(A144="","",TEXT(A144,"dddd"))</f>
      </c>
      <c r="E144" s="24">
        <f>IF(A144="","",IFERROR(INDEX('00_Parametres'!$C$7:$C$13,WEEKDAY(A144,2)),""))</f>
      </c>
      <c r="F144" s="24">
        <f>IF(A144="","",IFERROR(INDEX('00_Parametres'!$D$7:$D$13,WEEKDAY(A144,2)),""))</f>
      </c>
      <c r="G144" s="24">
        <f>IF(A144="","",IFERROR(INDEX('00_Parametres'!$E$7:$E$13,WEEKDAY(A144,2)),0))</f>
      </c>
      <c r="H144" s="11"/>
      <c r="I144" s="11"/>
      <c r="J144" s="11"/>
      <c r="K144" s="11"/>
      <c r="L144" s="12">
        <f>IF(OR(A144="",H144=""),"",IF(H144&lt;E144,IF(OR(J144="Oui",'00_Parametres'!$B$28="Oui"),H144,E144),H144))</f>
      </c>
      <c r="M144" s="12">
        <f>IF(OR(A144="",I144=""),"",IF(I144&gt;F144,IF(OR(K144="Oui",'00_Parametres'!$B$29="Oui"),I144,F144),I144))</f>
      </c>
      <c r="N144" s="25">
        <f>IF(OR(A144="",H144="",E144=""),0,MAX(0,ROUND((H144-E144)*1440,0)))</f>
      </c>
      <c r="O144" s="25">
        <f>IF(OR(A144="",I144="",F144=""),0,MAX(0,ROUND((F144-I144)*1440,0)))</f>
      </c>
      <c r="P144" s="12">
        <f>IF(OR(L144="",M144=""),0,MAX(0,ROUND((M144-L144)*24-G144,2)))</f>
      </c>
      <c r="Q144" s="12">
        <f>IF(P144=0,0,MIN(P144,'00_Parametres'!$B$23))</f>
      </c>
      <c r="R144" s="12">
        <f>IF(P144=0,0,MAX(0,P144-'00_Parametres'!$B$23))</f>
      </c>
      <c r="S144" s="10"/>
      <c r="T144" s="10"/>
      <c r="U144" s="10"/>
    </row>
    <row r="145" spans="1:21" x14ac:dyDescent="0.25">
      <c r="A145" s="18"/>
      <c r="B145" s="18"/>
      <c r="C145" s="9">
        <f>IF(B145="","",IFERROR(VLOOKUP(B145,'01_Employes'!$A$6:$Q$30,4,FALSE),"⚠ ID inconnu"))</f>
      </c>
      <c r="D145" s="9">
        <f>IF(A145="","",TEXT(A145,"dddd"))</f>
      </c>
      <c r="E145" s="24">
        <f>IF(A145="","",IFERROR(INDEX('00_Parametres'!$C$7:$C$13,WEEKDAY(A145,2)),""))</f>
      </c>
      <c r="F145" s="24">
        <f>IF(A145="","",IFERROR(INDEX('00_Parametres'!$D$7:$D$13,WEEKDAY(A145,2)),""))</f>
      </c>
      <c r="G145" s="24">
        <f>IF(A145="","",IFERROR(INDEX('00_Parametres'!$E$7:$E$13,WEEKDAY(A145,2)),0))</f>
      </c>
      <c r="H145" s="11"/>
      <c r="I145" s="11"/>
      <c r="J145" s="11"/>
      <c r="K145" s="11"/>
      <c r="L145" s="12">
        <f>IF(OR(A145="",H145=""),"",IF(H145&lt;E145,IF(OR(J145="Oui",'00_Parametres'!$B$28="Oui"),H145,E145),H145))</f>
      </c>
      <c r="M145" s="12">
        <f>IF(OR(A145="",I145=""),"",IF(I145&gt;F145,IF(OR(K145="Oui",'00_Parametres'!$B$29="Oui"),I145,F145),I145))</f>
      </c>
      <c r="N145" s="25">
        <f>IF(OR(A145="",H145="",E145=""),0,MAX(0,ROUND((H145-E145)*1440,0)))</f>
      </c>
      <c r="O145" s="25">
        <f>IF(OR(A145="",I145="",F145=""),0,MAX(0,ROUND((F145-I145)*1440,0)))</f>
      </c>
      <c r="P145" s="12">
        <f>IF(OR(L145="",M145=""),0,MAX(0,ROUND((M145-L145)*24-G145,2)))</f>
      </c>
      <c r="Q145" s="12">
        <f>IF(P145=0,0,MIN(P145,'00_Parametres'!$B$23))</f>
      </c>
      <c r="R145" s="12">
        <f>IF(P145=0,0,MAX(0,P145-'00_Parametres'!$B$23))</f>
      </c>
      <c r="S145" s="10"/>
      <c r="T145" s="10"/>
      <c r="U145" s="10"/>
    </row>
    <row r="146" spans="1:21" x14ac:dyDescent="0.25">
      <c r="A146" s="18"/>
      <c r="B146" s="18"/>
      <c r="C146" s="9">
        <f>IF(B146="","",IFERROR(VLOOKUP(B146,'01_Employes'!$A$6:$Q$30,4,FALSE),"⚠ ID inconnu"))</f>
      </c>
      <c r="D146" s="9">
        <f>IF(A146="","",TEXT(A146,"dddd"))</f>
      </c>
      <c r="E146" s="24">
        <f>IF(A146="","",IFERROR(INDEX('00_Parametres'!$C$7:$C$13,WEEKDAY(A146,2)),""))</f>
      </c>
      <c r="F146" s="24">
        <f>IF(A146="","",IFERROR(INDEX('00_Parametres'!$D$7:$D$13,WEEKDAY(A146,2)),""))</f>
      </c>
      <c r="G146" s="24">
        <f>IF(A146="","",IFERROR(INDEX('00_Parametres'!$E$7:$E$13,WEEKDAY(A146,2)),0))</f>
      </c>
      <c r="H146" s="11"/>
      <c r="I146" s="11"/>
      <c r="J146" s="11"/>
      <c r="K146" s="11"/>
      <c r="L146" s="12">
        <f>IF(OR(A146="",H146=""),"",IF(H146&lt;E146,IF(OR(J146="Oui",'00_Parametres'!$B$28="Oui"),H146,E146),H146))</f>
      </c>
      <c r="M146" s="12">
        <f>IF(OR(A146="",I146=""),"",IF(I146&gt;F146,IF(OR(K146="Oui",'00_Parametres'!$B$29="Oui"),I146,F146),I146))</f>
      </c>
      <c r="N146" s="25">
        <f>IF(OR(A146="",H146="",E146=""),0,MAX(0,ROUND((H146-E146)*1440,0)))</f>
      </c>
      <c r="O146" s="25">
        <f>IF(OR(A146="",I146="",F146=""),0,MAX(0,ROUND((F146-I146)*1440,0)))</f>
      </c>
      <c r="P146" s="12">
        <f>IF(OR(L146="",M146=""),0,MAX(0,ROUND((M146-L146)*24-G146,2)))</f>
      </c>
      <c r="Q146" s="12">
        <f>IF(P146=0,0,MIN(P146,'00_Parametres'!$B$23))</f>
      </c>
      <c r="R146" s="12">
        <f>IF(P146=0,0,MAX(0,P146-'00_Parametres'!$B$23))</f>
      </c>
      <c r="S146" s="10"/>
      <c r="T146" s="10"/>
      <c r="U146" s="10"/>
    </row>
    <row r="147" spans="1:21" x14ac:dyDescent="0.25">
      <c r="A147" s="18"/>
      <c r="B147" s="18"/>
      <c r="C147" s="9">
        <f>IF(B147="","",IFERROR(VLOOKUP(B147,'01_Employes'!$A$6:$Q$30,4,FALSE),"⚠ ID inconnu"))</f>
      </c>
      <c r="D147" s="9">
        <f>IF(A147="","",TEXT(A147,"dddd"))</f>
      </c>
      <c r="E147" s="24">
        <f>IF(A147="","",IFERROR(INDEX('00_Parametres'!$C$7:$C$13,WEEKDAY(A147,2)),""))</f>
      </c>
      <c r="F147" s="24">
        <f>IF(A147="","",IFERROR(INDEX('00_Parametres'!$D$7:$D$13,WEEKDAY(A147,2)),""))</f>
      </c>
      <c r="G147" s="24">
        <f>IF(A147="","",IFERROR(INDEX('00_Parametres'!$E$7:$E$13,WEEKDAY(A147,2)),0))</f>
      </c>
      <c r="H147" s="11"/>
      <c r="I147" s="11"/>
      <c r="J147" s="11"/>
      <c r="K147" s="11"/>
      <c r="L147" s="12">
        <f>IF(OR(A147="",H147=""),"",IF(H147&lt;E147,IF(OR(J147="Oui",'00_Parametres'!$B$28="Oui"),H147,E147),H147))</f>
      </c>
      <c r="M147" s="12">
        <f>IF(OR(A147="",I147=""),"",IF(I147&gt;F147,IF(OR(K147="Oui",'00_Parametres'!$B$29="Oui"),I147,F147),I147))</f>
      </c>
      <c r="N147" s="25">
        <f>IF(OR(A147="",H147="",E147=""),0,MAX(0,ROUND((H147-E147)*1440,0)))</f>
      </c>
      <c r="O147" s="25">
        <f>IF(OR(A147="",I147="",F147=""),0,MAX(0,ROUND((F147-I147)*1440,0)))</f>
      </c>
      <c r="P147" s="12">
        <f>IF(OR(L147="",M147=""),0,MAX(0,ROUND((M147-L147)*24-G147,2)))</f>
      </c>
      <c r="Q147" s="12">
        <f>IF(P147=0,0,MIN(P147,'00_Parametres'!$B$23))</f>
      </c>
      <c r="R147" s="12">
        <f>IF(P147=0,0,MAX(0,P147-'00_Parametres'!$B$23))</f>
      </c>
      <c r="S147" s="10"/>
      <c r="T147" s="10"/>
      <c r="U147" s="10"/>
    </row>
    <row r="148" spans="1:21" x14ac:dyDescent="0.25">
      <c r="A148" s="18"/>
      <c r="B148" s="18"/>
      <c r="C148" s="9">
        <f>IF(B148="","",IFERROR(VLOOKUP(B148,'01_Employes'!$A$6:$Q$30,4,FALSE),"⚠ ID inconnu"))</f>
      </c>
      <c r="D148" s="9">
        <f>IF(A148="","",TEXT(A148,"dddd"))</f>
      </c>
      <c r="E148" s="24">
        <f>IF(A148="","",IFERROR(INDEX('00_Parametres'!$C$7:$C$13,WEEKDAY(A148,2)),""))</f>
      </c>
      <c r="F148" s="24">
        <f>IF(A148="","",IFERROR(INDEX('00_Parametres'!$D$7:$D$13,WEEKDAY(A148,2)),""))</f>
      </c>
      <c r="G148" s="24">
        <f>IF(A148="","",IFERROR(INDEX('00_Parametres'!$E$7:$E$13,WEEKDAY(A148,2)),0))</f>
      </c>
      <c r="H148" s="11"/>
      <c r="I148" s="11"/>
      <c r="J148" s="11"/>
      <c r="K148" s="11"/>
      <c r="L148" s="12">
        <f>IF(OR(A148="",H148=""),"",IF(H148&lt;E148,IF(OR(J148="Oui",'00_Parametres'!$B$28="Oui"),H148,E148),H148))</f>
      </c>
      <c r="M148" s="12">
        <f>IF(OR(A148="",I148=""),"",IF(I148&gt;F148,IF(OR(K148="Oui",'00_Parametres'!$B$29="Oui"),I148,F148),I148))</f>
      </c>
      <c r="N148" s="25">
        <f>IF(OR(A148="",H148="",E148=""),0,MAX(0,ROUND((H148-E148)*1440,0)))</f>
      </c>
      <c r="O148" s="25">
        <f>IF(OR(A148="",I148="",F148=""),0,MAX(0,ROUND((F148-I148)*1440,0)))</f>
      </c>
      <c r="P148" s="12">
        <f>IF(OR(L148="",M148=""),0,MAX(0,ROUND((M148-L148)*24-G148,2)))</f>
      </c>
      <c r="Q148" s="12">
        <f>IF(P148=0,0,MIN(P148,'00_Parametres'!$B$23))</f>
      </c>
      <c r="R148" s="12">
        <f>IF(P148=0,0,MAX(0,P148-'00_Parametres'!$B$23))</f>
      </c>
      <c r="S148" s="10"/>
      <c r="T148" s="10"/>
      <c r="U148" s="10"/>
    </row>
    <row r="149" spans="1:21" x14ac:dyDescent="0.25">
      <c r="A149" s="18"/>
      <c r="B149" s="18"/>
      <c r="C149" s="9">
        <f>IF(B149="","",IFERROR(VLOOKUP(B149,'01_Employes'!$A$6:$Q$30,4,FALSE),"⚠ ID inconnu"))</f>
      </c>
      <c r="D149" s="9">
        <f>IF(A149="","",TEXT(A149,"dddd"))</f>
      </c>
      <c r="E149" s="24">
        <f>IF(A149="","",IFERROR(INDEX('00_Parametres'!$C$7:$C$13,WEEKDAY(A149,2)),""))</f>
      </c>
      <c r="F149" s="24">
        <f>IF(A149="","",IFERROR(INDEX('00_Parametres'!$D$7:$D$13,WEEKDAY(A149,2)),""))</f>
      </c>
      <c r="G149" s="24">
        <f>IF(A149="","",IFERROR(INDEX('00_Parametres'!$E$7:$E$13,WEEKDAY(A149,2)),0))</f>
      </c>
      <c r="H149" s="11"/>
      <c r="I149" s="11"/>
      <c r="J149" s="11"/>
      <c r="K149" s="11"/>
      <c r="L149" s="12">
        <f>IF(OR(A149="",H149=""),"",IF(H149&lt;E149,IF(OR(J149="Oui",'00_Parametres'!$B$28="Oui"),H149,E149),H149))</f>
      </c>
      <c r="M149" s="12">
        <f>IF(OR(A149="",I149=""),"",IF(I149&gt;F149,IF(OR(K149="Oui",'00_Parametres'!$B$29="Oui"),I149,F149),I149))</f>
      </c>
      <c r="N149" s="25">
        <f>IF(OR(A149="",H149="",E149=""),0,MAX(0,ROUND((H149-E149)*1440,0)))</f>
      </c>
      <c r="O149" s="25">
        <f>IF(OR(A149="",I149="",F149=""),0,MAX(0,ROUND((F149-I149)*1440,0)))</f>
      </c>
      <c r="P149" s="12">
        <f>IF(OR(L149="",M149=""),0,MAX(0,ROUND((M149-L149)*24-G149,2)))</f>
      </c>
      <c r="Q149" s="12">
        <f>IF(P149=0,0,MIN(P149,'00_Parametres'!$B$23))</f>
      </c>
      <c r="R149" s="12">
        <f>IF(P149=0,0,MAX(0,P149-'00_Parametres'!$B$23))</f>
      </c>
      <c r="S149" s="10"/>
      <c r="T149" s="10"/>
      <c r="U149" s="10"/>
    </row>
    <row r="150" spans="1:21" x14ac:dyDescent="0.25">
      <c r="A150" s="18"/>
      <c r="B150" s="18"/>
      <c r="C150" s="9">
        <f>IF(B150="","",IFERROR(VLOOKUP(B150,'01_Employes'!$A$6:$Q$30,4,FALSE),"⚠ ID inconnu"))</f>
      </c>
      <c r="D150" s="9">
        <f>IF(A150="","",TEXT(A150,"dddd"))</f>
      </c>
      <c r="E150" s="24">
        <f>IF(A150="","",IFERROR(INDEX('00_Parametres'!$C$7:$C$13,WEEKDAY(A150,2)),""))</f>
      </c>
      <c r="F150" s="24">
        <f>IF(A150="","",IFERROR(INDEX('00_Parametres'!$D$7:$D$13,WEEKDAY(A150,2)),""))</f>
      </c>
      <c r="G150" s="24">
        <f>IF(A150="","",IFERROR(INDEX('00_Parametres'!$E$7:$E$13,WEEKDAY(A150,2)),0))</f>
      </c>
      <c r="H150" s="11"/>
      <c r="I150" s="11"/>
      <c r="J150" s="11"/>
      <c r="K150" s="11"/>
      <c r="L150" s="12">
        <f>IF(OR(A150="",H150=""),"",IF(H150&lt;E150,IF(OR(J150="Oui",'00_Parametres'!$B$28="Oui"),H150,E150),H150))</f>
      </c>
      <c r="M150" s="12">
        <f>IF(OR(A150="",I150=""),"",IF(I150&gt;F150,IF(OR(K150="Oui",'00_Parametres'!$B$29="Oui"),I150,F150),I150))</f>
      </c>
      <c r="N150" s="25">
        <f>IF(OR(A150="",H150="",E150=""),0,MAX(0,ROUND((H150-E150)*1440,0)))</f>
      </c>
      <c r="O150" s="25">
        <f>IF(OR(A150="",I150="",F150=""),0,MAX(0,ROUND((F150-I150)*1440,0)))</f>
      </c>
      <c r="P150" s="12">
        <f>IF(OR(L150="",M150=""),0,MAX(0,ROUND((M150-L150)*24-G150,2)))</f>
      </c>
      <c r="Q150" s="12">
        <f>IF(P150=0,0,MIN(P150,'00_Parametres'!$B$23))</f>
      </c>
      <c r="R150" s="12">
        <f>IF(P150=0,0,MAX(0,P150-'00_Parametres'!$B$23))</f>
      </c>
      <c r="S150" s="10"/>
      <c r="T150" s="10"/>
      <c r="U150" s="10"/>
    </row>
    <row r="151" spans="1:21" x14ac:dyDescent="0.25">
      <c r="A151" s="18"/>
      <c r="B151" s="18"/>
      <c r="C151" s="9">
        <f>IF(B151="","",IFERROR(VLOOKUP(B151,'01_Employes'!$A$6:$Q$30,4,FALSE),"⚠ ID inconnu"))</f>
      </c>
      <c r="D151" s="9">
        <f>IF(A151="","",TEXT(A151,"dddd"))</f>
      </c>
      <c r="E151" s="24">
        <f>IF(A151="","",IFERROR(INDEX('00_Parametres'!$C$7:$C$13,WEEKDAY(A151,2)),""))</f>
      </c>
      <c r="F151" s="24">
        <f>IF(A151="","",IFERROR(INDEX('00_Parametres'!$D$7:$D$13,WEEKDAY(A151,2)),""))</f>
      </c>
      <c r="G151" s="24">
        <f>IF(A151="","",IFERROR(INDEX('00_Parametres'!$E$7:$E$13,WEEKDAY(A151,2)),0))</f>
      </c>
      <c r="H151" s="11"/>
      <c r="I151" s="11"/>
      <c r="J151" s="11"/>
      <c r="K151" s="11"/>
      <c r="L151" s="12">
        <f>IF(OR(A151="",H151=""),"",IF(H151&lt;E151,IF(OR(J151="Oui",'00_Parametres'!$B$28="Oui"),H151,E151),H151))</f>
      </c>
      <c r="M151" s="12">
        <f>IF(OR(A151="",I151=""),"",IF(I151&gt;F151,IF(OR(K151="Oui",'00_Parametres'!$B$29="Oui"),I151,F151),I151))</f>
      </c>
      <c r="N151" s="25">
        <f>IF(OR(A151="",H151="",E151=""),0,MAX(0,ROUND((H151-E151)*1440,0)))</f>
      </c>
      <c r="O151" s="25">
        <f>IF(OR(A151="",I151="",F151=""),0,MAX(0,ROUND((F151-I151)*1440,0)))</f>
      </c>
      <c r="P151" s="12">
        <f>IF(OR(L151="",M151=""),0,MAX(0,ROUND((M151-L151)*24-G151,2)))</f>
      </c>
      <c r="Q151" s="12">
        <f>IF(P151=0,0,MIN(P151,'00_Parametres'!$B$23))</f>
      </c>
      <c r="R151" s="12">
        <f>IF(P151=0,0,MAX(0,P151-'00_Parametres'!$B$23))</f>
      </c>
      <c r="S151" s="10"/>
      <c r="T151" s="10"/>
      <c r="U151" s="10"/>
    </row>
    <row r="152" spans="1:21" x14ac:dyDescent="0.25">
      <c r="A152" s="18"/>
      <c r="B152" s="18"/>
      <c r="C152" s="9">
        <f>IF(B152="","",IFERROR(VLOOKUP(B152,'01_Employes'!$A$6:$Q$30,4,FALSE),"⚠ ID inconnu"))</f>
      </c>
      <c r="D152" s="9">
        <f>IF(A152="","",TEXT(A152,"dddd"))</f>
      </c>
      <c r="E152" s="24">
        <f>IF(A152="","",IFERROR(INDEX('00_Parametres'!$C$7:$C$13,WEEKDAY(A152,2)),""))</f>
      </c>
      <c r="F152" s="24">
        <f>IF(A152="","",IFERROR(INDEX('00_Parametres'!$D$7:$D$13,WEEKDAY(A152,2)),""))</f>
      </c>
      <c r="G152" s="24">
        <f>IF(A152="","",IFERROR(INDEX('00_Parametres'!$E$7:$E$13,WEEKDAY(A152,2)),0))</f>
      </c>
      <c r="H152" s="11"/>
      <c r="I152" s="11"/>
      <c r="J152" s="11"/>
      <c r="K152" s="11"/>
      <c r="L152" s="12">
        <f>IF(OR(A152="",H152=""),"",IF(H152&lt;E152,IF(OR(J152="Oui",'00_Parametres'!$B$28="Oui"),H152,E152),H152))</f>
      </c>
      <c r="M152" s="12">
        <f>IF(OR(A152="",I152=""),"",IF(I152&gt;F152,IF(OR(K152="Oui",'00_Parametres'!$B$29="Oui"),I152,F152),I152))</f>
      </c>
      <c r="N152" s="25">
        <f>IF(OR(A152="",H152="",E152=""),0,MAX(0,ROUND((H152-E152)*1440,0)))</f>
      </c>
      <c r="O152" s="25">
        <f>IF(OR(A152="",I152="",F152=""),0,MAX(0,ROUND((F152-I152)*1440,0)))</f>
      </c>
      <c r="P152" s="12">
        <f>IF(OR(L152="",M152=""),0,MAX(0,ROUND((M152-L152)*24-G152,2)))</f>
      </c>
      <c r="Q152" s="12">
        <f>IF(P152=0,0,MIN(P152,'00_Parametres'!$B$23))</f>
      </c>
      <c r="R152" s="12">
        <f>IF(P152=0,0,MAX(0,P152-'00_Parametres'!$B$23))</f>
      </c>
      <c r="S152" s="10"/>
      <c r="T152" s="10"/>
      <c r="U152" s="10"/>
    </row>
    <row r="153" spans="1:21" x14ac:dyDescent="0.25">
      <c r="A153" s="18"/>
      <c r="B153" s="18"/>
      <c r="C153" s="9">
        <f>IF(B153="","",IFERROR(VLOOKUP(B153,'01_Employes'!$A$6:$Q$30,4,FALSE),"⚠ ID inconnu"))</f>
      </c>
      <c r="D153" s="9">
        <f>IF(A153="","",TEXT(A153,"dddd"))</f>
      </c>
      <c r="E153" s="24">
        <f>IF(A153="","",IFERROR(INDEX('00_Parametres'!$C$7:$C$13,WEEKDAY(A153,2)),""))</f>
      </c>
      <c r="F153" s="24">
        <f>IF(A153="","",IFERROR(INDEX('00_Parametres'!$D$7:$D$13,WEEKDAY(A153,2)),""))</f>
      </c>
      <c r="G153" s="24">
        <f>IF(A153="","",IFERROR(INDEX('00_Parametres'!$E$7:$E$13,WEEKDAY(A153,2)),0))</f>
      </c>
      <c r="H153" s="11"/>
      <c r="I153" s="11"/>
      <c r="J153" s="11"/>
      <c r="K153" s="11"/>
      <c r="L153" s="12">
        <f>IF(OR(A153="",H153=""),"",IF(H153&lt;E153,IF(OR(J153="Oui",'00_Parametres'!$B$28="Oui"),H153,E153),H153))</f>
      </c>
      <c r="M153" s="12">
        <f>IF(OR(A153="",I153=""),"",IF(I153&gt;F153,IF(OR(K153="Oui",'00_Parametres'!$B$29="Oui"),I153,F153),I153))</f>
      </c>
      <c r="N153" s="25">
        <f>IF(OR(A153="",H153="",E153=""),0,MAX(0,ROUND((H153-E153)*1440,0)))</f>
      </c>
      <c r="O153" s="25">
        <f>IF(OR(A153="",I153="",F153=""),0,MAX(0,ROUND((F153-I153)*1440,0)))</f>
      </c>
      <c r="P153" s="12">
        <f>IF(OR(L153="",M153=""),0,MAX(0,ROUND((M153-L153)*24-G153,2)))</f>
      </c>
      <c r="Q153" s="12">
        <f>IF(P153=0,0,MIN(P153,'00_Parametres'!$B$23))</f>
      </c>
      <c r="R153" s="12">
        <f>IF(P153=0,0,MAX(0,P153-'00_Parametres'!$B$23))</f>
      </c>
      <c r="S153" s="10"/>
      <c r="T153" s="10"/>
      <c r="U153" s="10"/>
    </row>
    <row r="154" spans="1:21" x14ac:dyDescent="0.25">
      <c r="A154" s="18"/>
      <c r="B154" s="18"/>
      <c r="C154" s="9">
        <f>IF(B154="","",IFERROR(VLOOKUP(B154,'01_Employes'!$A$6:$Q$30,4,FALSE),"⚠ ID inconnu"))</f>
      </c>
      <c r="D154" s="9">
        <f>IF(A154="","",TEXT(A154,"dddd"))</f>
      </c>
      <c r="E154" s="24">
        <f>IF(A154="","",IFERROR(INDEX('00_Parametres'!$C$7:$C$13,WEEKDAY(A154,2)),""))</f>
      </c>
      <c r="F154" s="24">
        <f>IF(A154="","",IFERROR(INDEX('00_Parametres'!$D$7:$D$13,WEEKDAY(A154,2)),""))</f>
      </c>
      <c r="G154" s="24">
        <f>IF(A154="","",IFERROR(INDEX('00_Parametres'!$E$7:$E$13,WEEKDAY(A154,2)),0))</f>
      </c>
      <c r="H154" s="11"/>
      <c r="I154" s="11"/>
      <c r="J154" s="11"/>
      <c r="K154" s="11"/>
      <c r="L154" s="12">
        <f>IF(OR(A154="",H154=""),"",IF(H154&lt;E154,IF(OR(J154="Oui",'00_Parametres'!$B$28="Oui"),H154,E154),H154))</f>
      </c>
      <c r="M154" s="12">
        <f>IF(OR(A154="",I154=""),"",IF(I154&gt;F154,IF(OR(K154="Oui",'00_Parametres'!$B$29="Oui"),I154,F154),I154))</f>
      </c>
      <c r="N154" s="25">
        <f>IF(OR(A154="",H154="",E154=""),0,MAX(0,ROUND((H154-E154)*1440,0)))</f>
      </c>
      <c r="O154" s="25">
        <f>IF(OR(A154="",I154="",F154=""),0,MAX(0,ROUND((F154-I154)*1440,0)))</f>
      </c>
      <c r="P154" s="12">
        <f>IF(OR(L154="",M154=""),0,MAX(0,ROUND((M154-L154)*24-G154,2)))</f>
      </c>
      <c r="Q154" s="12">
        <f>IF(P154=0,0,MIN(P154,'00_Parametres'!$B$23))</f>
      </c>
      <c r="R154" s="12">
        <f>IF(P154=0,0,MAX(0,P154-'00_Parametres'!$B$23))</f>
      </c>
      <c r="S154" s="10"/>
      <c r="T154" s="10"/>
      <c r="U154" s="10"/>
    </row>
    <row r="155" spans="1:21" x14ac:dyDescent="0.25">
      <c r="A155" s="18"/>
      <c r="B155" s="18"/>
      <c r="C155" s="9">
        <f>IF(B155="","",IFERROR(VLOOKUP(B155,'01_Employes'!$A$6:$Q$30,4,FALSE),"⚠ ID inconnu"))</f>
      </c>
      <c r="D155" s="9">
        <f>IF(A155="","",TEXT(A155,"dddd"))</f>
      </c>
      <c r="E155" s="24">
        <f>IF(A155="","",IFERROR(INDEX('00_Parametres'!$C$7:$C$13,WEEKDAY(A155,2)),""))</f>
      </c>
      <c r="F155" s="24">
        <f>IF(A155="","",IFERROR(INDEX('00_Parametres'!$D$7:$D$13,WEEKDAY(A155,2)),""))</f>
      </c>
      <c r="G155" s="24">
        <f>IF(A155="","",IFERROR(INDEX('00_Parametres'!$E$7:$E$13,WEEKDAY(A155,2)),0))</f>
      </c>
      <c r="H155" s="11"/>
      <c r="I155" s="11"/>
      <c r="J155" s="11"/>
      <c r="K155" s="11"/>
      <c r="L155" s="12">
        <f>IF(OR(A155="",H155=""),"",IF(H155&lt;E155,IF(OR(J155="Oui",'00_Parametres'!$B$28="Oui"),H155,E155),H155))</f>
      </c>
      <c r="M155" s="12">
        <f>IF(OR(A155="",I155=""),"",IF(I155&gt;F155,IF(OR(K155="Oui",'00_Parametres'!$B$29="Oui"),I155,F155),I155))</f>
      </c>
      <c r="N155" s="25">
        <f>IF(OR(A155="",H155="",E155=""),0,MAX(0,ROUND((H155-E155)*1440,0)))</f>
      </c>
      <c r="O155" s="25">
        <f>IF(OR(A155="",I155="",F155=""),0,MAX(0,ROUND((F155-I155)*1440,0)))</f>
      </c>
      <c r="P155" s="12">
        <f>IF(OR(L155="",M155=""),0,MAX(0,ROUND((M155-L155)*24-G155,2)))</f>
      </c>
      <c r="Q155" s="12">
        <f>IF(P155=0,0,MIN(P155,'00_Parametres'!$B$23))</f>
      </c>
      <c r="R155" s="12">
        <f>IF(P155=0,0,MAX(0,P155-'00_Parametres'!$B$23))</f>
      </c>
      <c r="S155" s="10"/>
      <c r="T155" s="10"/>
      <c r="U155" s="10"/>
    </row>
    <row r="156" spans="1:21" x14ac:dyDescent="0.25">
      <c r="A156" s="18"/>
      <c r="B156" s="18"/>
      <c r="C156" s="9">
        <f>IF(B156="","",IFERROR(VLOOKUP(B156,'01_Employes'!$A$6:$Q$30,4,FALSE),"⚠ ID inconnu"))</f>
      </c>
      <c r="D156" s="9">
        <f>IF(A156="","",TEXT(A156,"dddd"))</f>
      </c>
      <c r="E156" s="24">
        <f>IF(A156="","",IFERROR(INDEX('00_Parametres'!$C$7:$C$13,WEEKDAY(A156,2)),""))</f>
      </c>
      <c r="F156" s="24">
        <f>IF(A156="","",IFERROR(INDEX('00_Parametres'!$D$7:$D$13,WEEKDAY(A156,2)),""))</f>
      </c>
      <c r="G156" s="24">
        <f>IF(A156="","",IFERROR(INDEX('00_Parametres'!$E$7:$E$13,WEEKDAY(A156,2)),0))</f>
      </c>
      <c r="H156" s="11"/>
      <c r="I156" s="11"/>
      <c r="J156" s="11"/>
      <c r="K156" s="11"/>
      <c r="L156" s="12">
        <f>IF(OR(A156="",H156=""),"",IF(H156&lt;E156,IF(OR(J156="Oui",'00_Parametres'!$B$28="Oui"),H156,E156),H156))</f>
      </c>
      <c r="M156" s="12">
        <f>IF(OR(A156="",I156=""),"",IF(I156&gt;F156,IF(OR(K156="Oui",'00_Parametres'!$B$29="Oui"),I156,F156),I156))</f>
      </c>
      <c r="N156" s="25">
        <f>IF(OR(A156="",H156="",E156=""),0,MAX(0,ROUND((H156-E156)*1440,0)))</f>
      </c>
      <c r="O156" s="25">
        <f>IF(OR(A156="",I156="",F156=""),0,MAX(0,ROUND((F156-I156)*1440,0)))</f>
      </c>
      <c r="P156" s="12">
        <f>IF(OR(L156="",M156=""),0,MAX(0,ROUND((M156-L156)*24-G156,2)))</f>
      </c>
      <c r="Q156" s="12">
        <f>IF(P156=0,0,MIN(P156,'00_Parametres'!$B$23))</f>
      </c>
      <c r="R156" s="12">
        <f>IF(P156=0,0,MAX(0,P156-'00_Parametres'!$B$23))</f>
      </c>
      <c r="S156" s="10"/>
      <c r="T156" s="10"/>
      <c r="U156" s="10"/>
    </row>
    <row r="157" spans="1:21" x14ac:dyDescent="0.25">
      <c r="A157" s="18"/>
      <c r="B157" s="18"/>
      <c r="C157" s="9">
        <f>IF(B157="","",IFERROR(VLOOKUP(B157,'01_Employes'!$A$6:$Q$30,4,FALSE),"⚠ ID inconnu"))</f>
      </c>
      <c r="D157" s="9">
        <f>IF(A157="","",TEXT(A157,"dddd"))</f>
      </c>
      <c r="E157" s="24">
        <f>IF(A157="","",IFERROR(INDEX('00_Parametres'!$C$7:$C$13,WEEKDAY(A157,2)),""))</f>
      </c>
      <c r="F157" s="24">
        <f>IF(A157="","",IFERROR(INDEX('00_Parametres'!$D$7:$D$13,WEEKDAY(A157,2)),""))</f>
      </c>
      <c r="G157" s="24">
        <f>IF(A157="","",IFERROR(INDEX('00_Parametres'!$E$7:$E$13,WEEKDAY(A157,2)),0))</f>
      </c>
      <c r="H157" s="11"/>
      <c r="I157" s="11"/>
      <c r="J157" s="11"/>
      <c r="K157" s="11"/>
      <c r="L157" s="12">
        <f>IF(OR(A157="",H157=""),"",IF(H157&lt;E157,IF(OR(J157="Oui",'00_Parametres'!$B$28="Oui"),H157,E157),H157))</f>
      </c>
      <c r="M157" s="12">
        <f>IF(OR(A157="",I157=""),"",IF(I157&gt;F157,IF(OR(K157="Oui",'00_Parametres'!$B$29="Oui"),I157,F157),I157))</f>
      </c>
      <c r="N157" s="25">
        <f>IF(OR(A157="",H157="",E157=""),0,MAX(0,ROUND((H157-E157)*1440,0)))</f>
      </c>
      <c r="O157" s="25">
        <f>IF(OR(A157="",I157="",F157=""),0,MAX(0,ROUND((F157-I157)*1440,0)))</f>
      </c>
      <c r="P157" s="12">
        <f>IF(OR(L157="",M157=""),0,MAX(0,ROUND((M157-L157)*24-G157,2)))</f>
      </c>
      <c r="Q157" s="12">
        <f>IF(P157=0,0,MIN(P157,'00_Parametres'!$B$23))</f>
      </c>
      <c r="R157" s="12">
        <f>IF(P157=0,0,MAX(0,P157-'00_Parametres'!$B$23))</f>
      </c>
      <c r="S157" s="10"/>
      <c r="T157" s="10"/>
      <c r="U157" s="10"/>
    </row>
    <row r="158" spans="1:21" x14ac:dyDescent="0.25">
      <c r="A158" s="18"/>
      <c r="B158" s="18"/>
      <c r="C158" s="9">
        <f>IF(B158="","",IFERROR(VLOOKUP(B158,'01_Employes'!$A$6:$Q$30,4,FALSE),"⚠ ID inconnu"))</f>
      </c>
      <c r="D158" s="9">
        <f>IF(A158="","",TEXT(A158,"dddd"))</f>
      </c>
      <c r="E158" s="24">
        <f>IF(A158="","",IFERROR(INDEX('00_Parametres'!$C$7:$C$13,WEEKDAY(A158,2)),""))</f>
      </c>
      <c r="F158" s="24">
        <f>IF(A158="","",IFERROR(INDEX('00_Parametres'!$D$7:$D$13,WEEKDAY(A158,2)),""))</f>
      </c>
      <c r="G158" s="24">
        <f>IF(A158="","",IFERROR(INDEX('00_Parametres'!$E$7:$E$13,WEEKDAY(A158,2)),0))</f>
      </c>
      <c r="H158" s="11"/>
      <c r="I158" s="11"/>
      <c r="J158" s="11"/>
      <c r="K158" s="11"/>
      <c r="L158" s="12">
        <f>IF(OR(A158="",H158=""),"",IF(H158&lt;E158,IF(OR(J158="Oui",'00_Parametres'!$B$28="Oui"),H158,E158),H158))</f>
      </c>
      <c r="M158" s="12">
        <f>IF(OR(A158="",I158=""),"",IF(I158&gt;F158,IF(OR(K158="Oui",'00_Parametres'!$B$29="Oui"),I158,F158),I158))</f>
      </c>
      <c r="N158" s="25">
        <f>IF(OR(A158="",H158="",E158=""),0,MAX(0,ROUND((H158-E158)*1440,0)))</f>
      </c>
      <c r="O158" s="25">
        <f>IF(OR(A158="",I158="",F158=""),0,MAX(0,ROUND((F158-I158)*1440,0)))</f>
      </c>
      <c r="P158" s="12">
        <f>IF(OR(L158="",M158=""),0,MAX(0,ROUND((M158-L158)*24-G158,2)))</f>
      </c>
      <c r="Q158" s="12">
        <f>IF(P158=0,0,MIN(P158,'00_Parametres'!$B$23))</f>
      </c>
      <c r="R158" s="12">
        <f>IF(P158=0,0,MAX(0,P158-'00_Parametres'!$B$23))</f>
      </c>
      <c r="S158" s="10"/>
      <c r="T158" s="10"/>
      <c r="U158" s="10"/>
    </row>
    <row r="159" spans="1:21" x14ac:dyDescent="0.25">
      <c r="A159" s="18"/>
      <c r="B159" s="18"/>
      <c r="C159" s="9">
        <f>IF(B159="","",IFERROR(VLOOKUP(B159,'01_Employes'!$A$6:$Q$30,4,FALSE),"⚠ ID inconnu"))</f>
      </c>
      <c r="D159" s="9">
        <f>IF(A159="","",TEXT(A159,"dddd"))</f>
      </c>
      <c r="E159" s="24">
        <f>IF(A159="","",IFERROR(INDEX('00_Parametres'!$C$7:$C$13,WEEKDAY(A159,2)),""))</f>
      </c>
      <c r="F159" s="24">
        <f>IF(A159="","",IFERROR(INDEX('00_Parametres'!$D$7:$D$13,WEEKDAY(A159,2)),""))</f>
      </c>
      <c r="G159" s="24">
        <f>IF(A159="","",IFERROR(INDEX('00_Parametres'!$E$7:$E$13,WEEKDAY(A159,2)),0))</f>
      </c>
      <c r="H159" s="11"/>
      <c r="I159" s="11"/>
      <c r="J159" s="11"/>
      <c r="K159" s="11"/>
      <c r="L159" s="12">
        <f>IF(OR(A159="",H159=""),"",IF(H159&lt;E159,IF(OR(J159="Oui",'00_Parametres'!$B$28="Oui"),H159,E159),H159))</f>
      </c>
      <c r="M159" s="12">
        <f>IF(OR(A159="",I159=""),"",IF(I159&gt;F159,IF(OR(K159="Oui",'00_Parametres'!$B$29="Oui"),I159,F159),I159))</f>
      </c>
      <c r="N159" s="25">
        <f>IF(OR(A159="",H159="",E159=""),0,MAX(0,ROUND((H159-E159)*1440,0)))</f>
      </c>
      <c r="O159" s="25">
        <f>IF(OR(A159="",I159="",F159=""),0,MAX(0,ROUND((F159-I159)*1440,0)))</f>
      </c>
      <c r="P159" s="12">
        <f>IF(OR(L159="",M159=""),0,MAX(0,ROUND((M159-L159)*24-G159,2)))</f>
      </c>
      <c r="Q159" s="12">
        <f>IF(P159=0,0,MIN(P159,'00_Parametres'!$B$23))</f>
      </c>
      <c r="R159" s="12">
        <f>IF(P159=0,0,MAX(0,P159-'00_Parametres'!$B$23))</f>
      </c>
      <c r="S159" s="10"/>
      <c r="T159" s="10"/>
      <c r="U159" s="10"/>
    </row>
    <row r="160" spans="1:21" x14ac:dyDescent="0.25">
      <c r="A160" s="18"/>
      <c r="B160" s="18"/>
      <c r="C160" s="9">
        <f>IF(B160="","",IFERROR(VLOOKUP(B160,'01_Employes'!$A$6:$Q$30,4,FALSE),"⚠ ID inconnu"))</f>
      </c>
      <c r="D160" s="9">
        <f>IF(A160="","",TEXT(A160,"dddd"))</f>
      </c>
      <c r="E160" s="24">
        <f>IF(A160="","",IFERROR(INDEX('00_Parametres'!$C$7:$C$13,WEEKDAY(A160,2)),""))</f>
      </c>
      <c r="F160" s="24">
        <f>IF(A160="","",IFERROR(INDEX('00_Parametres'!$D$7:$D$13,WEEKDAY(A160,2)),""))</f>
      </c>
      <c r="G160" s="24">
        <f>IF(A160="","",IFERROR(INDEX('00_Parametres'!$E$7:$E$13,WEEKDAY(A160,2)),0))</f>
      </c>
      <c r="H160" s="11"/>
      <c r="I160" s="11"/>
      <c r="J160" s="11"/>
      <c r="K160" s="11"/>
      <c r="L160" s="12">
        <f>IF(OR(A160="",H160=""),"",IF(H160&lt;E160,IF(OR(J160="Oui",'00_Parametres'!$B$28="Oui"),H160,E160),H160))</f>
      </c>
      <c r="M160" s="12">
        <f>IF(OR(A160="",I160=""),"",IF(I160&gt;F160,IF(OR(K160="Oui",'00_Parametres'!$B$29="Oui"),I160,F160),I160))</f>
      </c>
      <c r="N160" s="25">
        <f>IF(OR(A160="",H160="",E160=""),0,MAX(0,ROUND((H160-E160)*1440,0)))</f>
      </c>
      <c r="O160" s="25">
        <f>IF(OR(A160="",I160="",F160=""),0,MAX(0,ROUND((F160-I160)*1440,0)))</f>
      </c>
      <c r="P160" s="12">
        <f>IF(OR(L160="",M160=""),0,MAX(0,ROUND((M160-L160)*24-G160,2)))</f>
      </c>
      <c r="Q160" s="12">
        <f>IF(P160=0,0,MIN(P160,'00_Parametres'!$B$23))</f>
      </c>
      <c r="R160" s="12">
        <f>IF(P160=0,0,MAX(0,P160-'00_Parametres'!$B$23))</f>
      </c>
      <c r="S160" s="10"/>
      <c r="T160" s="10"/>
      <c r="U160" s="10"/>
    </row>
    <row r="161" spans="1:21" x14ac:dyDescent="0.25">
      <c r="A161" s="18"/>
      <c r="B161" s="18"/>
      <c r="C161" s="9">
        <f>IF(B161="","",IFERROR(VLOOKUP(B161,'01_Employes'!$A$6:$Q$30,4,FALSE),"⚠ ID inconnu"))</f>
      </c>
      <c r="D161" s="9">
        <f>IF(A161="","",TEXT(A161,"dddd"))</f>
      </c>
      <c r="E161" s="24">
        <f>IF(A161="","",IFERROR(INDEX('00_Parametres'!$C$7:$C$13,WEEKDAY(A161,2)),""))</f>
      </c>
      <c r="F161" s="24">
        <f>IF(A161="","",IFERROR(INDEX('00_Parametres'!$D$7:$D$13,WEEKDAY(A161,2)),""))</f>
      </c>
      <c r="G161" s="24">
        <f>IF(A161="","",IFERROR(INDEX('00_Parametres'!$E$7:$E$13,WEEKDAY(A161,2)),0))</f>
      </c>
      <c r="H161" s="11"/>
      <c r="I161" s="11"/>
      <c r="J161" s="11"/>
      <c r="K161" s="11"/>
      <c r="L161" s="12">
        <f>IF(OR(A161="",H161=""),"",IF(H161&lt;E161,IF(OR(J161="Oui",'00_Parametres'!$B$28="Oui"),H161,E161),H161))</f>
      </c>
      <c r="M161" s="12">
        <f>IF(OR(A161="",I161=""),"",IF(I161&gt;F161,IF(OR(K161="Oui",'00_Parametres'!$B$29="Oui"),I161,F161),I161))</f>
      </c>
      <c r="N161" s="25">
        <f>IF(OR(A161="",H161="",E161=""),0,MAX(0,ROUND((H161-E161)*1440,0)))</f>
      </c>
      <c r="O161" s="25">
        <f>IF(OR(A161="",I161="",F161=""),0,MAX(0,ROUND((F161-I161)*1440,0)))</f>
      </c>
      <c r="P161" s="12">
        <f>IF(OR(L161="",M161=""),0,MAX(0,ROUND((M161-L161)*24-G161,2)))</f>
      </c>
      <c r="Q161" s="12">
        <f>IF(P161=0,0,MIN(P161,'00_Parametres'!$B$23))</f>
      </c>
      <c r="R161" s="12">
        <f>IF(P161=0,0,MAX(0,P161-'00_Parametres'!$B$23))</f>
      </c>
      <c r="S161" s="10"/>
      <c r="T161" s="10"/>
      <c r="U161" s="10"/>
    </row>
    <row r="162" spans="1:21" x14ac:dyDescent="0.25">
      <c r="A162" s="18"/>
      <c r="B162" s="18"/>
      <c r="C162" s="9">
        <f>IF(B162="","",IFERROR(VLOOKUP(B162,'01_Employes'!$A$6:$Q$30,4,FALSE),"⚠ ID inconnu"))</f>
      </c>
      <c r="D162" s="9">
        <f>IF(A162="","",TEXT(A162,"dddd"))</f>
      </c>
      <c r="E162" s="24">
        <f>IF(A162="","",IFERROR(INDEX('00_Parametres'!$C$7:$C$13,WEEKDAY(A162,2)),""))</f>
      </c>
      <c r="F162" s="24">
        <f>IF(A162="","",IFERROR(INDEX('00_Parametres'!$D$7:$D$13,WEEKDAY(A162,2)),""))</f>
      </c>
      <c r="G162" s="24">
        <f>IF(A162="","",IFERROR(INDEX('00_Parametres'!$E$7:$E$13,WEEKDAY(A162,2)),0))</f>
      </c>
      <c r="H162" s="11"/>
      <c r="I162" s="11"/>
      <c r="J162" s="11"/>
      <c r="K162" s="11"/>
      <c r="L162" s="12">
        <f>IF(OR(A162="",H162=""),"",IF(H162&lt;E162,IF(OR(J162="Oui",'00_Parametres'!$B$28="Oui"),H162,E162),H162))</f>
      </c>
      <c r="M162" s="12">
        <f>IF(OR(A162="",I162=""),"",IF(I162&gt;F162,IF(OR(K162="Oui",'00_Parametres'!$B$29="Oui"),I162,F162),I162))</f>
      </c>
      <c r="N162" s="25">
        <f>IF(OR(A162="",H162="",E162=""),0,MAX(0,ROUND((H162-E162)*1440,0)))</f>
      </c>
      <c r="O162" s="25">
        <f>IF(OR(A162="",I162="",F162=""),0,MAX(0,ROUND((F162-I162)*1440,0)))</f>
      </c>
      <c r="P162" s="12">
        <f>IF(OR(L162="",M162=""),0,MAX(0,ROUND((M162-L162)*24-G162,2)))</f>
      </c>
      <c r="Q162" s="12">
        <f>IF(P162=0,0,MIN(P162,'00_Parametres'!$B$23))</f>
      </c>
      <c r="R162" s="12">
        <f>IF(P162=0,0,MAX(0,P162-'00_Parametres'!$B$23))</f>
      </c>
      <c r="S162" s="10"/>
      <c r="T162" s="10"/>
      <c r="U162" s="10"/>
    </row>
    <row r="163" spans="1:21" x14ac:dyDescent="0.25">
      <c r="A163" s="18"/>
      <c r="B163" s="18"/>
      <c r="C163" s="9">
        <f>IF(B163="","",IFERROR(VLOOKUP(B163,'01_Employes'!$A$6:$Q$30,4,FALSE),"⚠ ID inconnu"))</f>
      </c>
      <c r="D163" s="9">
        <f>IF(A163="","",TEXT(A163,"dddd"))</f>
      </c>
      <c r="E163" s="24">
        <f>IF(A163="","",IFERROR(INDEX('00_Parametres'!$C$7:$C$13,WEEKDAY(A163,2)),""))</f>
      </c>
      <c r="F163" s="24">
        <f>IF(A163="","",IFERROR(INDEX('00_Parametres'!$D$7:$D$13,WEEKDAY(A163,2)),""))</f>
      </c>
      <c r="G163" s="24">
        <f>IF(A163="","",IFERROR(INDEX('00_Parametres'!$E$7:$E$13,WEEKDAY(A163,2)),0))</f>
      </c>
      <c r="H163" s="11"/>
      <c r="I163" s="11"/>
      <c r="J163" s="11"/>
      <c r="K163" s="11"/>
      <c r="L163" s="12">
        <f>IF(OR(A163="",H163=""),"",IF(H163&lt;E163,IF(OR(J163="Oui",'00_Parametres'!$B$28="Oui"),H163,E163),H163))</f>
      </c>
      <c r="M163" s="12">
        <f>IF(OR(A163="",I163=""),"",IF(I163&gt;F163,IF(OR(K163="Oui",'00_Parametres'!$B$29="Oui"),I163,F163),I163))</f>
      </c>
      <c r="N163" s="25">
        <f>IF(OR(A163="",H163="",E163=""),0,MAX(0,ROUND((H163-E163)*1440,0)))</f>
      </c>
      <c r="O163" s="25">
        <f>IF(OR(A163="",I163="",F163=""),0,MAX(0,ROUND((F163-I163)*1440,0)))</f>
      </c>
      <c r="P163" s="12">
        <f>IF(OR(L163="",M163=""),0,MAX(0,ROUND((M163-L163)*24-G163,2)))</f>
      </c>
      <c r="Q163" s="12">
        <f>IF(P163=0,0,MIN(P163,'00_Parametres'!$B$23))</f>
      </c>
      <c r="R163" s="12">
        <f>IF(P163=0,0,MAX(0,P163-'00_Parametres'!$B$23))</f>
      </c>
      <c r="S163" s="10"/>
      <c r="T163" s="10"/>
      <c r="U163" s="10"/>
    </row>
    <row r="164" spans="1:21" x14ac:dyDescent="0.25">
      <c r="A164" s="18"/>
      <c r="B164" s="18"/>
      <c r="C164" s="9">
        <f>IF(B164="","",IFERROR(VLOOKUP(B164,'01_Employes'!$A$6:$Q$30,4,FALSE),"⚠ ID inconnu"))</f>
      </c>
      <c r="D164" s="9">
        <f>IF(A164="","",TEXT(A164,"dddd"))</f>
      </c>
      <c r="E164" s="24">
        <f>IF(A164="","",IFERROR(INDEX('00_Parametres'!$C$7:$C$13,WEEKDAY(A164,2)),""))</f>
      </c>
      <c r="F164" s="24">
        <f>IF(A164="","",IFERROR(INDEX('00_Parametres'!$D$7:$D$13,WEEKDAY(A164,2)),""))</f>
      </c>
      <c r="G164" s="24">
        <f>IF(A164="","",IFERROR(INDEX('00_Parametres'!$E$7:$E$13,WEEKDAY(A164,2)),0))</f>
      </c>
      <c r="H164" s="11"/>
      <c r="I164" s="11"/>
      <c r="J164" s="11"/>
      <c r="K164" s="11"/>
      <c r="L164" s="12">
        <f>IF(OR(A164="",H164=""),"",IF(H164&lt;E164,IF(OR(J164="Oui",'00_Parametres'!$B$28="Oui"),H164,E164),H164))</f>
      </c>
      <c r="M164" s="12">
        <f>IF(OR(A164="",I164=""),"",IF(I164&gt;F164,IF(OR(K164="Oui",'00_Parametres'!$B$29="Oui"),I164,F164),I164))</f>
      </c>
      <c r="N164" s="25">
        <f>IF(OR(A164="",H164="",E164=""),0,MAX(0,ROUND((H164-E164)*1440,0)))</f>
      </c>
      <c r="O164" s="25">
        <f>IF(OR(A164="",I164="",F164=""),0,MAX(0,ROUND((F164-I164)*1440,0)))</f>
      </c>
      <c r="P164" s="12">
        <f>IF(OR(L164="",M164=""),0,MAX(0,ROUND((M164-L164)*24-G164,2)))</f>
      </c>
      <c r="Q164" s="12">
        <f>IF(P164=0,0,MIN(P164,'00_Parametres'!$B$23))</f>
      </c>
      <c r="R164" s="12">
        <f>IF(P164=0,0,MAX(0,P164-'00_Parametres'!$B$23))</f>
      </c>
      <c r="S164" s="10"/>
      <c r="T164" s="10"/>
      <c r="U164" s="10"/>
    </row>
    <row r="165" spans="1:21" x14ac:dyDescent="0.25">
      <c r="A165" s="18"/>
      <c r="B165" s="18"/>
      <c r="C165" s="9">
        <f>IF(B165="","",IFERROR(VLOOKUP(B165,'01_Employes'!$A$6:$Q$30,4,FALSE),"⚠ ID inconnu"))</f>
      </c>
      <c r="D165" s="9">
        <f>IF(A165="","",TEXT(A165,"dddd"))</f>
      </c>
      <c r="E165" s="24">
        <f>IF(A165="","",IFERROR(INDEX('00_Parametres'!$C$7:$C$13,WEEKDAY(A165,2)),""))</f>
      </c>
      <c r="F165" s="24">
        <f>IF(A165="","",IFERROR(INDEX('00_Parametres'!$D$7:$D$13,WEEKDAY(A165,2)),""))</f>
      </c>
      <c r="G165" s="24">
        <f>IF(A165="","",IFERROR(INDEX('00_Parametres'!$E$7:$E$13,WEEKDAY(A165,2)),0))</f>
      </c>
      <c r="H165" s="11"/>
      <c r="I165" s="11"/>
      <c r="J165" s="11"/>
      <c r="K165" s="11"/>
      <c r="L165" s="12">
        <f>IF(OR(A165="",H165=""),"",IF(H165&lt;E165,IF(OR(J165="Oui",'00_Parametres'!$B$28="Oui"),H165,E165),H165))</f>
      </c>
      <c r="M165" s="12">
        <f>IF(OR(A165="",I165=""),"",IF(I165&gt;F165,IF(OR(K165="Oui",'00_Parametres'!$B$29="Oui"),I165,F165),I165))</f>
      </c>
      <c r="N165" s="25">
        <f>IF(OR(A165="",H165="",E165=""),0,MAX(0,ROUND((H165-E165)*1440,0)))</f>
      </c>
      <c r="O165" s="25">
        <f>IF(OR(A165="",I165="",F165=""),0,MAX(0,ROUND((F165-I165)*1440,0)))</f>
      </c>
      <c r="P165" s="12">
        <f>IF(OR(L165="",M165=""),0,MAX(0,ROUND((M165-L165)*24-G165,2)))</f>
      </c>
      <c r="Q165" s="12">
        <f>IF(P165=0,0,MIN(P165,'00_Parametres'!$B$23))</f>
      </c>
      <c r="R165" s="12">
        <f>IF(P165=0,0,MAX(0,P165-'00_Parametres'!$B$23))</f>
      </c>
      <c r="S165" s="10"/>
      <c r="T165" s="10"/>
      <c r="U165" s="10"/>
    </row>
    <row r="166" spans="1:21" x14ac:dyDescent="0.25">
      <c r="A166" s="18"/>
      <c r="B166" s="18"/>
      <c r="C166" s="9">
        <f>IF(B166="","",IFERROR(VLOOKUP(B166,'01_Employes'!$A$6:$Q$30,4,FALSE),"⚠ ID inconnu"))</f>
      </c>
      <c r="D166" s="9">
        <f>IF(A166="","",TEXT(A166,"dddd"))</f>
      </c>
      <c r="E166" s="24">
        <f>IF(A166="","",IFERROR(INDEX('00_Parametres'!$C$7:$C$13,WEEKDAY(A166,2)),""))</f>
      </c>
      <c r="F166" s="24">
        <f>IF(A166="","",IFERROR(INDEX('00_Parametres'!$D$7:$D$13,WEEKDAY(A166,2)),""))</f>
      </c>
      <c r="G166" s="24">
        <f>IF(A166="","",IFERROR(INDEX('00_Parametres'!$E$7:$E$13,WEEKDAY(A166,2)),0))</f>
      </c>
      <c r="H166" s="11"/>
      <c r="I166" s="11"/>
      <c r="J166" s="11"/>
      <c r="K166" s="11"/>
      <c r="L166" s="12">
        <f>IF(OR(A166="",H166=""),"",IF(H166&lt;E166,IF(OR(J166="Oui",'00_Parametres'!$B$28="Oui"),H166,E166),H166))</f>
      </c>
      <c r="M166" s="12">
        <f>IF(OR(A166="",I166=""),"",IF(I166&gt;F166,IF(OR(K166="Oui",'00_Parametres'!$B$29="Oui"),I166,F166),I166))</f>
      </c>
      <c r="N166" s="25">
        <f>IF(OR(A166="",H166="",E166=""),0,MAX(0,ROUND((H166-E166)*1440,0)))</f>
      </c>
      <c r="O166" s="25">
        <f>IF(OR(A166="",I166="",F166=""),0,MAX(0,ROUND((F166-I166)*1440,0)))</f>
      </c>
      <c r="P166" s="12">
        <f>IF(OR(L166="",M166=""),0,MAX(0,ROUND((M166-L166)*24-G166,2)))</f>
      </c>
      <c r="Q166" s="12">
        <f>IF(P166=0,0,MIN(P166,'00_Parametres'!$B$23))</f>
      </c>
      <c r="R166" s="12">
        <f>IF(P166=0,0,MAX(0,P166-'00_Parametres'!$B$23))</f>
      </c>
      <c r="S166" s="10"/>
      <c r="T166" s="10"/>
      <c r="U166" s="10"/>
    </row>
    <row r="167" spans="1:21" x14ac:dyDescent="0.25">
      <c r="A167" s="18"/>
      <c r="B167" s="18"/>
      <c r="C167" s="9">
        <f>IF(B167="","",IFERROR(VLOOKUP(B167,'01_Employes'!$A$6:$Q$30,4,FALSE),"⚠ ID inconnu"))</f>
      </c>
      <c r="D167" s="9">
        <f>IF(A167="","",TEXT(A167,"dddd"))</f>
      </c>
      <c r="E167" s="24">
        <f>IF(A167="","",IFERROR(INDEX('00_Parametres'!$C$7:$C$13,WEEKDAY(A167,2)),""))</f>
      </c>
      <c r="F167" s="24">
        <f>IF(A167="","",IFERROR(INDEX('00_Parametres'!$D$7:$D$13,WEEKDAY(A167,2)),""))</f>
      </c>
      <c r="G167" s="24">
        <f>IF(A167="","",IFERROR(INDEX('00_Parametres'!$E$7:$E$13,WEEKDAY(A167,2)),0))</f>
      </c>
      <c r="H167" s="11"/>
      <c r="I167" s="11"/>
      <c r="J167" s="11"/>
      <c r="K167" s="11"/>
      <c r="L167" s="12">
        <f>IF(OR(A167="",H167=""),"",IF(H167&lt;E167,IF(OR(J167="Oui",'00_Parametres'!$B$28="Oui"),H167,E167),H167))</f>
      </c>
      <c r="M167" s="12">
        <f>IF(OR(A167="",I167=""),"",IF(I167&gt;F167,IF(OR(K167="Oui",'00_Parametres'!$B$29="Oui"),I167,F167),I167))</f>
      </c>
      <c r="N167" s="25">
        <f>IF(OR(A167="",H167="",E167=""),0,MAX(0,ROUND((H167-E167)*1440,0)))</f>
      </c>
      <c r="O167" s="25">
        <f>IF(OR(A167="",I167="",F167=""),0,MAX(0,ROUND((F167-I167)*1440,0)))</f>
      </c>
      <c r="P167" s="12">
        <f>IF(OR(L167="",M167=""),0,MAX(0,ROUND((M167-L167)*24-G167,2)))</f>
      </c>
      <c r="Q167" s="12">
        <f>IF(P167=0,0,MIN(P167,'00_Parametres'!$B$23))</f>
      </c>
      <c r="R167" s="12">
        <f>IF(P167=0,0,MAX(0,P167-'00_Parametres'!$B$23))</f>
      </c>
      <c r="S167" s="10"/>
      <c r="T167" s="10"/>
      <c r="U167" s="10"/>
    </row>
    <row r="168" spans="1:21" x14ac:dyDescent="0.25">
      <c r="A168" s="18"/>
      <c r="B168" s="18"/>
      <c r="C168" s="9">
        <f>IF(B168="","",IFERROR(VLOOKUP(B168,'01_Employes'!$A$6:$Q$30,4,FALSE),"⚠ ID inconnu"))</f>
      </c>
      <c r="D168" s="9">
        <f>IF(A168="","",TEXT(A168,"dddd"))</f>
      </c>
      <c r="E168" s="24">
        <f>IF(A168="","",IFERROR(INDEX('00_Parametres'!$C$7:$C$13,WEEKDAY(A168,2)),""))</f>
      </c>
      <c r="F168" s="24">
        <f>IF(A168="","",IFERROR(INDEX('00_Parametres'!$D$7:$D$13,WEEKDAY(A168,2)),""))</f>
      </c>
      <c r="G168" s="24">
        <f>IF(A168="","",IFERROR(INDEX('00_Parametres'!$E$7:$E$13,WEEKDAY(A168,2)),0))</f>
      </c>
      <c r="H168" s="11"/>
      <c r="I168" s="11"/>
      <c r="J168" s="11"/>
      <c r="K168" s="11"/>
      <c r="L168" s="12">
        <f>IF(OR(A168="",H168=""),"",IF(H168&lt;E168,IF(OR(J168="Oui",'00_Parametres'!$B$28="Oui"),H168,E168),H168))</f>
      </c>
      <c r="M168" s="12">
        <f>IF(OR(A168="",I168=""),"",IF(I168&gt;F168,IF(OR(K168="Oui",'00_Parametres'!$B$29="Oui"),I168,F168),I168))</f>
      </c>
      <c r="N168" s="25">
        <f>IF(OR(A168="",H168="",E168=""),0,MAX(0,ROUND((H168-E168)*1440,0)))</f>
      </c>
      <c r="O168" s="25">
        <f>IF(OR(A168="",I168="",F168=""),0,MAX(0,ROUND((F168-I168)*1440,0)))</f>
      </c>
      <c r="P168" s="12">
        <f>IF(OR(L168="",M168=""),0,MAX(0,ROUND((M168-L168)*24-G168,2)))</f>
      </c>
      <c r="Q168" s="12">
        <f>IF(P168=0,0,MIN(P168,'00_Parametres'!$B$23))</f>
      </c>
      <c r="R168" s="12">
        <f>IF(P168=0,0,MAX(0,P168-'00_Parametres'!$B$23))</f>
      </c>
      <c r="S168" s="10"/>
      <c r="T168" s="10"/>
      <c r="U168" s="10"/>
    </row>
    <row r="169" spans="1:21" x14ac:dyDescent="0.25">
      <c r="A169" s="18"/>
      <c r="B169" s="18"/>
      <c r="C169" s="9">
        <f>IF(B169="","",IFERROR(VLOOKUP(B169,'01_Employes'!$A$6:$Q$30,4,FALSE),"⚠ ID inconnu"))</f>
      </c>
      <c r="D169" s="9">
        <f>IF(A169="","",TEXT(A169,"dddd"))</f>
      </c>
      <c r="E169" s="24">
        <f>IF(A169="","",IFERROR(INDEX('00_Parametres'!$C$7:$C$13,WEEKDAY(A169,2)),""))</f>
      </c>
      <c r="F169" s="24">
        <f>IF(A169="","",IFERROR(INDEX('00_Parametres'!$D$7:$D$13,WEEKDAY(A169,2)),""))</f>
      </c>
      <c r="G169" s="24">
        <f>IF(A169="","",IFERROR(INDEX('00_Parametres'!$E$7:$E$13,WEEKDAY(A169,2)),0))</f>
      </c>
      <c r="H169" s="11"/>
      <c r="I169" s="11"/>
      <c r="J169" s="11"/>
      <c r="K169" s="11"/>
      <c r="L169" s="12">
        <f>IF(OR(A169="",H169=""),"",IF(H169&lt;E169,IF(OR(J169="Oui",'00_Parametres'!$B$28="Oui"),H169,E169),H169))</f>
      </c>
      <c r="M169" s="12">
        <f>IF(OR(A169="",I169=""),"",IF(I169&gt;F169,IF(OR(K169="Oui",'00_Parametres'!$B$29="Oui"),I169,F169),I169))</f>
      </c>
      <c r="N169" s="25">
        <f>IF(OR(A169="",H169="",E169=""),0,MAX(0,ROUND((H169-E169)*1440,0)))</f>
      </c>
      <c r="O169" s="25">
        <f>IF(OR(A169="",I169="",F169=""),0,MAX(0,ROUND((F169-I169)*1440,0)))</f>
      </c>
      <c r="P169" s="12">
        <f>IF(OR(L169="",M169=""),0,MAX(0,ROUND((M169-L169)*24-G169,2)))</f>
      </c>
      <c r="Q169" s="12">
        <f>IF(P169=0,0,MIN(P169,'00_Parametres'!$B$23))</f>
      </c>
      <c r="R169" s="12">
        <f>IF(P169=0,0,MAX(0,P169-'00_Parametres'!$B$23))</f>
      </c>
      <c r="S169" s="10"/>
      <c r="T169" s="10"/>
      <c r="U169" s="10"/>
    </row>
    <row r="170" spans="1:21" x14ac:dyDescent="0.25">
      <c r="A170" s="18"/>
      <c r="B170" s="18"/>
      <c r="C170" s="9">
        <f>IF(B170="","",IFERROR(VLOOKUP(B170,'01_Employes'!$A$6:$Q$30,4,FALSE),"⚠ ID inconnu"))</f>
      </c>
      <c r="D170" s="9">
        <f>IF(A170="","",TEXT(A170,"dddd"))</f>
      </c>
      <c r="E170" s="24">
        <f>IF(A170="","",IFERROR(INDEX('00_Parametres'!$C$7:$C$13,WEEKDAY(A170,2)),""))</f>
      </c>
      <c r="F170" s="24">
        <f>IF(A170="","",IFERROR(INDEX('00_Parametres'!$D$7:$D$13,WEEKDAY(A170,2)),""))</f>
      </c>
      <c r="G170" s="24">
        <f>IF(A170="","",IFERROR(INDEX('00_Parametres'!$E$7:$E$13,WEEKDAY(A170,2)),0))</f>
      </c>
      <c r="H170" s="11"/>
      <c r="I170" s="11"/>
      <c r="J170" s="11"/>
      <c r="K170" s="11"/>
      <c r="L170" s="12">
        <f>IF(OR(A170="",H170=""),"",IF(H170&lt;E170,IF(OR(J170="Oui",'00_Parametres'!$B$28="Oui"),H170,E170),H170))</f>
      </c>
      <c r="M170" s="12">
        <f>IF(OR(A170="",I170=""),"",IF(I170&gt;F170,IF(OR(K170="Oui",'00_Parametres'!$B$29="Oui"),I170,F170),I170))</f>
      </c>
      <c r="N170" s="25">
        <f>IF(OR(A170="",H170="",E170=""),0,MAX(0,ROUND((H170-E170)*1440,0)))</f>
      </c>
      <c r="O170" s="25">
        <f>IF(OR(A170="",I170="",F170=""),0,MAX(0,ROUND((F170-I170)*1440,0)))</f>
      </c>
      <c r="P170" s="12">
        <f>IF(OR(L170="",M170=""),0,MAX(0,ROUND((M170-L170)*24-G170,2)))</f>
      </c>
      <c r="Q170" s="12">
        <f>IF(P170=0,0,MIN(P170,'00_Parametres'!$B$23))</f>
      </c>
      <c r="R170" s="12">
        <f>IF(P170=0,0,MAX(0,P170-'00_Parametres'!$B$23))</f>
      </c>
      <c r="S170" s="10"/>
      <c r="T170" s="10"/>
      <c r="U170" s="10"/>
    </row>
    <row r="171" spans="1:21" x14ac:dyDescent="0.25">
      <c r="A171" s="18"/>
      <c r="B171" s="18"/>
      <c r="C171" s="9">
        <f>IF(B171="","",IFERROR(VLOOKUP(B171,'01_Employes'!$A$6:$Q$30,4,FALSE),"⚠ ID inconnu"))</f>
      </c>
      <c r="D171" s="9">
        <f>IF(A171="","",TEXT(A171,"dddd"))</f>
      </c>
      <c r="E171" s="24">
        <f>IF(A171="","",IFERROR(INDEX('00_Parametres'!$C$7:$C$13,WEEKDAY(A171,2)),""))</f>
      </c>
      <c r="F171" s="24">
        <f>IF(A171="","",IFERROR(INDEX('00_Parametres'!$D$7:$D$13,WEEKDAY(A171,2)),""))</f>
      </c>
      <c r="G171" s="24">
        <f>IF(A171="","",IFERROR(INDEX('00_Parametres'!$E$7:$E$13,WEEKDAY(A171,2)),0))</f>
      </c>
      <c r="H171" s="11"/>
      <c r="I171" s="11"/>
      <c r="J171" s="11"/>
      <c r="K171" s="11"/>
      <c r="L171" s="12">
        <f>IF(OR(A171="",H171=""),"",IF(H171&lt;E171,IF(OR(J171="Oui",'00_Parametres'!$B$28="Oui"),H171,E171),H171))</f>
      </c>
      <c r="M171" s="12">
        <f>IF(OR(A171="",I171=""),"",IF(I171&gt;F171,IF(OR(K171="Oui",'00_Parametres'!$B$29="Oui"),I171,F171),I171))</f>
      </c>
      <c r="N171" s="25">
        <f>IF(OR(A171="",H171="",E171=""),0,MAX(0,ROUND((H171-E171)*1440,0)))</f>
      </c>
      <c r="O171" s="25">
        <f>IF(OR(A171="",I171="",F171=""),0,MAX(0,ROUND((F171-I171)*1440,0)))</f>
      </c>
      <c r="P171" s="12">
        <f>IF(OR(L171="",M171=""),0,MAX(0,ROUND((M171-L171)*24-G171,2)))</f>
      </c>
      <c r="Q171" s="12">
        <f>IF(P171=0,0,MIN(P171,'00_Parametres'!$B$23))</f>
      </c>
      <c r="R171" s="12">
        <f>IF(P171=0,0,MAX(0,P171-'00_Parametres'!$B$23))</f>
      </c>
      <c r="S171" s="10"/>
      <c r="T171" s="10"/>
      <c r="U171" s="10"/>
    </row>
    <row r="172" spans="1:21" x14ac:dyDescent="0.25">
      <c r="A172" s="18"/>
      <c r="B172" s="18"/>
      <c r="C172" s="9">
        <f>IF(B172="","",IFERROR(VLOOKUP(B172,'01_Employes'!$A$6:$Q$30,4,FALSE),"⚠ ID inconnu"))</f>
      </c>
      <c r="D172" s="9">
        <f>IF(A172="","",TEXT(A172,"dddd"))</f>
      </c>
      <c r="E172" s="24">
        <f>IF(A172="","",IFERROR(INDEX('00_Parametres'!$C$7:$C$13,WEEKDAY(A172,2)),""))</f>
      </c>
      <c r="F172" s="24">
        <f>IF(A172="","",IFERROR(INDEX('00_Parametres'!$D$7:$D$13,WEEKDAY(A172,2)),""))</f>
      </c>
      <c r="G172" s="24">
        <f>IF(A172="","",IFERROR(INDEX('00_Parametres'!$E$7:$E$13,WEEKDAY(A172,2)),0))</f>
      </c>
      <c r="H172" s="11"/>
      <c r="I172" s="11"/>
      <c r="J172" s="11"/>
      <c r="K172" s="11"/>
      <c r="L172" s="12">
        <f>IF(OR(A172="",H172=""),"",IF(H172&lt;E172,IF(OR(J172="Oui",'00_Parametres'!$B$28="Oui"),H172,E172),H172))</f>
      </c>
      <c r="M172" s="12">
        <f>IF(OR(A172="",I172=""),"",IF(I172&gt;F172,IF(OR(K172="Oui",'00_Parametres'!$B$29="Oui"),I172,F172),I172))</f>
      </c>
      <c r="N172" s="25">
        <f>IF(OR(A172="",H172="",E172=""),0,MAX(0,ROUND((H172-E172)*1440,0)))</f>
      </c>
      <c r="O172" s="25">
        <f>IF(OR(A172="",I172="",F172=""),0,MAX(0,ROUND((F172-I172)*1440,0)))</f>
      </c>
      <c r="P172" s="12">
        <f>IF(OR(L172="",M172=""),0,MAX(0,ROUND((M172-L172)*24-G172,2)))</f>
      </c>
      <c r="Q172" s="12">
        <f>IF(P172=0,0,MIN(P172,'00_Parametres'!$B$23))</f>
      </c>
      <c r="R172" s="12">
        <f>IF(P172=0,0,MAX(0,P172-'00_Parametres'!$B$23))</f>
      </c>
      <c r="S172" s="10"/>
      <c r="T172" s="10"/>
      <c r="U172" s="10"/>
    </row>
    <row r="173" spans="1:21" x14ac:dyDescent="0.25">
      <c r="A173" s="18"/>
      <c r="B173" s="18"/>
      <c r="C173" s="9">
        <f>IF(B173="","",IFERROR(VLOOKUP(B173,'01_Employes'!$A$6:$Q$30,4,FALSE),"⚠ ID inconnu"))</f>
      </c>
      <c r="D173" s="9">
        <f>IF(A173="","",TEXT(A173,"dddd"))</f>
      </c>
      <c r="E173" s="24">
        <f>IF(A173="","",IFERROR(INDEX('00_Parametres'!$C$7:$C$13,WEEKDAY(A173,2)),""))</f>
      </c>
      <c r="F173" s="24">
        <f>IF(A173="","",IFERROR(INDEX('00_Parametres'!$D$7:$D$13,WEEKDAY(A173,2)),""))</f>
      </c>
      <c r="G173" s="24">
        <f>IF(A173="","",IFERROR(INDEX('00_Parametres'!$E$7:$E$13,WEEKDAY(A173,2)),0))</f>
      </c>
      <c r="H173" s="11"/>
      <c r="I173" s="11"/>
      <c r="J173" s="11"/>
      <c r="K173" s="11"/>
      <c r="L173" s="12">
        <f>IF(OR(A173="",H173=""),"",IF(H173&lt;E173,IF(OR(J173="Oui",'00_Parametres'!$B$28="Oui"),H173,E173),H173))</f>
      </c>
      <c r="M173" s="12">
        <f>IF(OR(A173="",I173=""),"",IF(I173&gt;F173,IF(OR(K173="Oui",'00_Parametres'!$B$29="Oui"),I173,F173),I173))</f>
      </c>
      <c r="N173" s="25">
        <f>IF(OR(A173="",H173="",E173=""),0,MAX(0,ROUND((H173-E173)*1440,0)))</f>
      </c>
      <c r="O173" s="25">
        <f>IF(OR(A173="",I173="",F173=""),0,MAX(0,ROUND((F173-I173)*1440,0)))</f>
      </c>
      <c r="P173" s="12">
        <f>IF(OR(L173="",M173=""),0,MAX(0,ROUND((M173-L173)*24-G173,2)))</f>
      </c>
      <c r="Q173" s="12">
        <f>IF(P173=0,0,MIN(P173,'00_Parametres'!$B$23))</f>
      </c>
      <c r="R173" s="12">
        <f>IF(P173=0,0,MAX(0,P173-'00_Parametres'!$B$23))</f>
      </c>
      <c r="S173" s="10"/>
      <c r="T173" s="10"/>
      <c r="U173" s="10"/>
    </row>
    <row r="174" spans="1:21" x14ac:dyDescent="0.25">
      <c r="A174" s="18"/>
      <c r="B174" s="18"/>
      <c r="C174" s="9">
        <f>IF(B174="","",IFERROR(VLOOKUP(B174,'01_Employes'!$A$6:$Q$30,4,FALSE),"⚠ ID inconnu"))</f>
      </c>
      <c r="D174" s="9">
        <f>IF(A174="","",TEXT(A174,"dddd"))</f>
      </c>
      <c r="E174" s="24">
        <f>IF(A174="","",IFERROR(INDEX('00_Parametres'!$C$7:$C$13,WEEKDAY(A174,2)),""))</f>
      </c>
      <c r="F174" s="24">
        <f>IF(A174="","",IFERROR(INDEX('00_Parametres'!$D$7:$D$13,WEEKDAY(A174,2)),""))</f>
      </c>
      <c r="G174" s="24">
        <f>IF(A174="","",IFERROR(INDEX('00_Parametres'!$E$7:$E$13,WEEKDAY(A174,2)),0))</f>
      </c>
      <c r="H174" s="11"/>
      <c r="I174" s="11"/>
      <c r="J174" s="11"/>
      <c r="K174" s="11"/>
      <c r="L174" s="12">
        <f>IF(OR(A174="",H174=""),"",IF(H174&lt;E174,IF(OR(J174="Oui",'00_Parametres'!$B$28="Oui"),H174,E174),H174))</f>
      </c>
      <c r="M174" s="12">
        <f>IF(OR(A174="",I174=""),"",IF(I174&gt;F174,IF(OR(K174="Oui",'00_Parametres'!$B$29="Oui"),I174,F174),I174))</f>
      </c>
      <c r="N174" s="25">
        <f>IF(OR(A174="",H174="",E174=""),0,MAX(0,ROUND((H174-E174)*1440,0)))</f>
      </c>
      <c r="O174" s="25">
        <f>IF(OR(A174="",I174="",F174=""),0,MAX(0,ROUND((F174-I174)*1440,0)))</f>
      </c>
      <c r="P174" s="12">
        <f>IF(OR(L174="",M174=""),0,MAX(0,ROUND((M174-L174)*24-G174,2)))</f>
      </c>
      <c r="Q174" s="12">
        <f>IF(P174=0,0,MIN(P174,'00_Parametres'!$B$23))</f>
      </c>
      <c r="R174" s="12">
        <f>IF(P174=0,0,MAX(0,P174-'00_Parametres'!$B$23))</f>
      </c>
      <c r="S174" s="10"/>
      <c r="T174" s="10"/>
      <c r="U174" s="10"/>
    </row>
    <row r="175" spans="1:21" x14ac:dyDescent="0.25">
      <c r="A175" s="18"/>
      <c r="B175" s="18"/>
      <c r="C175" s="9">
        <f>IF(B175="","",IFERROR(VLOOKUP(B175,'01_Employes'!$A$6:$Q$30,4,FALSE),"⚠ ID inconnu"))</f>
      </c>
      <c r="D175" s="9">
        <f>IF(A175="","",TEXT(A175,"dddd"))</f>
      </c>
      <c r="E175" s="24">
        <f>IF(A175="","",IFERROR(INDEX('00_Parametres'!$C$7:$C$13,WEEKDAY(A175,2)),""))</f>
      </c>
      <c r="F175" s="24">
        <f>IF(A175="","",IFERROR(INDEX('00_Parametres'!$D$7:$D$13,WEEKDAY(A175,2)),""))</f>
      </c>
      <c r="G175" s="24">
        <f>IF(A175="","",IFERROR(INDEX('00_Parametres'!$E$7:$E$13,WEEKDAY(A175,2)),0))</f>
      </c>
      <c r="H175" s="11"/>
      <c r="I175" s="11"/>
      <c r="J175" s="11"/>
      <c r="K175" s="11"/>
      <c r="L175" s="12">
        <f>IF(OR(A175="",H175=""),"",IF(H175&lt;E175,IF(OR(J175="Oui",'00_Parametres'!$B$28="Oui"),H175,E175),H175))</f>
      </c>
      <c r="M175" s="12">
        <f>IF(OR(A175="",I175=""),"",IF(I175&gt;F175,IF(OR(K175="Oui",'00_Parametres'!$B$29="Oui"),I175,F175),I175))</f>
      </c>
      <c r="N175" s="25">
        <f>IF(OR(A175="",H175="",E175=""),0,MAX(0,ROUND((H175-E175)*1440,0)))</f>
      </c>
      <c r="O175" s="25">
        <f>IF(OR(A175="",I175="",F175=""),0,MAX(0,ROUND((F175-I175)*1440,0)))</f>
      </c>
      <c r="P175" s="12">
        <f>IF(OR(L175="",M175=""),0,MAX(0,ROUND((M175-L175)*24-G175,2)))</f>
      </c>
      <c r="Q175" s="12">
        <f>IF(P175=0,0,MIN(P175,'00_Parametres'!$B$23))</f>
      </c>
      <c r="R175" s="12">
        <f>IF(P175=0,0,MAX(0,P175-'00_Parametres'!$B$23))</f>
      </c>
      <c r="S175" s="10"/>
      <c r="T175" s="10"/>
      <c r="U175" s="10"/>
    </row>
    <row r="176" spans="1:21" x14ac:dyDescent="0.25">
      <c r="A176" s="18"/>
      <c r="B176" s="18"/>
      <c r="C176" s="9">
        <f>IF(B176="","",IFERROR(VLOOKUP(B176,'01_Employes'!$A$6:$Q$30,4,FALSE),"⚠ ID inconnu"))</f>
      </c>
      <c r="D176" s="9">
        <f>IF(A176="","",TEXT(A176,"dddd"))</f>
      </c>
      <c r="E176" s="24">
        <f>IF(A176="","",IFERROR(INDEX('00_Parametres'!$C$7:$C$13,WEEKDAY(A176,2)),""))</f>
      </c>
      <c r="F176" s="24">
        <f>IF(A176="","",IFERROR(INDEX('00_Parametres'!$D$7:$D$13,WEEKDAY(A176,2)),""))</f>
      </c>
      <c r="G176" s="24">
        <f>IF(A176="","",IFERROR(INDEX('00_Parametres'!$E$7:$E$13,WEEKDAY(A176,2)),0))</f>
      </c>
      <c r="H176" s="11"/>
      <c r="I176" s="11"/>
      <c r="J176" s="11"/>
      <c r="K176" s="11"/>
      <c r="L176" s="12">
        <f>IF(OR(A176="",H176=""),"",IF(H176&lt;E176,IF(OR(J176="Oui",'00_Parametres'!$B$28="Oui"),H176,E176),H176))</f>
      </c>
      <c r="M176" s="12">
        <f>IF(OR(A176="",I176=""),"",IF(I176&gt;F176,IF(OR(K176="Oui",'00_Parametres'!$B$29="Oui"),I176,F176),I176))</f>
      </c>
      <c r="N176" s="25">
        <f>IF(OR(A176="",H176="",E176=""),0,MAX(0,ROUND((H176-E176)*1440,0)))</f>
      </c>
      <c r="O176" s="25">
        <f>IF(OR(A176="",I176="",F176=""),0,MAX(0,ROUND((F176-I176)*1440,0)))</f>
      </c>
      <c r="P176" s="12">
        <f>IF(OR(L176="",M176=""),0,MAX(0,ROUND((M176-L176)*24-G176,2)))</f>
      </c>
      <c r="Q176" s="12">
        <f>IF(P176=0,0,MIN(P176,'00_Parametres'!$B$23))</f>
      </c>
      <c r="R176" s="12">
        <f>IF(P176=0,0,MAX(0,P176-'00_Parametres'!$B$23))</f>
      </c>
      <c r="S176" s="10"/>
      <c r="T176" s="10"/>
      <c r="U176" s="10"/>
    </row>
    <row r="177" spans="1:21" x14ac:dyDescent="0.25">
      <c r="A177" s="18"/>
      <c r="B177" s="18"/>
      <c r="C177" s="9">
        <f>IF(B177="","",IFERROR(VLOOKUP(B177,'01_Employes'!$A$6:$Q$30,4,FALSE),"⚠ ID inconnu"))</f>
      </c>
      <c r="D177" s="9">
        <f>IF(A177="","",TEXT(A177,"dddd"))</f>
      </c>
      <c r="E177" s="24">
        <f>IF(A177="","",IFERROR(INDEX('00_Parametres'!$C$7:$C$13,WEEKDAY(A177,2)),""))</f>
      </c>
      <c r="F177" s="24">
        <f>IF(A177="","",IFERROR(INDEX('00_Parametres'!$D$7:$D$13,WEEKDAY(A177,2)),""))</f>
      </c>
      <c r="G177" s="24">
        <f>IF(A177="","",IFERROR(INDEX('00_Parametres'!$E$7:$E$13,WEEKDAY(A177,2)),0))</f>
      </c>
      <c r="H177" s="11"/>
      <c r="I177" s="11"/>
      <c r="J177" s="11"/>
      <c r="K177" s="11"/>
      <c r="L177" s="12">
        <f>IF(OR(A177="",H177=""),"",IF(H177&lt;E177,IF(OR(J177="Oui",'00_Parametres'!$B$28="Oui"),H177,E177),H177))</f>
      </c>
      <c r="M177" s="12">
        <f>IF(OR(A177="",I177=""),"",IF(I177&gt;F177,IF(OR(K177="Oui",'00_Parametres'!$B$29="Oui"),I177,F177),I177))</f>
      </c>
      <c r="N177" s="25">
        <f>IF(OR(A177="",H177="",E177=""),0,MAX(0,ROUND((H177-E177)*1440,0)))</f>
      </c>
      <c r="O177" s="25">
        <f>IF(OR(A177="",I177="",F177=""),0,MAX(0,ROUND((F177-I177)*1440,0)))</f>
      </c>
      <c r="P177" s="12">
        <f>IF(OR(L177="",M177=""),0,MAX(0,ROUND((M177-L177)*24-G177,2)))</f>
      </c>
      <c r="Q177" s="12">
        <f>IF(P177=0,0,MIN(P177,'00_Parametres'!$B$23))</f>
      </c>
      <c r="R177" s="12">
        <f>IF(P177=0,0,MAX(0,P177-'00_Parametres'!$B$23))</f>
      </c>
      <c r="S177" s="10"/>
      <c r="T177" s="10"/>
      <c r="U177" s="10"/>
    </row>
    <row r="178" spans="1:21" x14ac:dyDescent="0.25">
      <c r="A178" s="18"/>
      <c r="B178" s="18"/>
      <c r="C178" s="9">
        <f>IF(B178="","",IFERROR(VLOOKUP(B178,'01_Employes'!$A$6:$Q$30,4,FALSE),"⚠ ID inconnu"))</f>
      </c>
      <c r="D178" s="9">
        <f>IF(A178="","",TEXT(A178,"dddd"))</f>
      </c>
      <c r="E178" s="24">
        <f>IF(A178="","",IFERROR(INDEX('00_Parametres'!$C$7:$C$13,WEEKDAY(A178,2)),""))</f>
      </c>
      <c r="F178" s="24">
        <f>IF(A178="","",IFERROR(INDEX('00_Parametres'!$D$7:$D$13,WEEKDAY(A178,2)),""))</f>
      </c>
      <c r="G178" s="24">
        <f>IF(A178="","",IFERROR(INDEX('00_Parametres'!$E$7:$E$13,WEEKDAY(A178,2)),0))</f>
      </c>
      <c r="H178" s="11"/>
      <c r="I178" s="11"/>
      <c r="J178" s="11"/>
      <c r="K178" s="11"/>
      <c r="L178" s="12">
        <f>IF(OR(A178="",H178=""),"",IF(H178&lt;E178,IF(OR(J178="Oui",'00_Parametres'!$B$28="Oui"),H178,E178),H178))</f>
      </c>
      <c r="M178" s="12">
        <f>IF(OR(A178="",I178=""),"",IF(I178&gt;F178,IF(OR(K178="Oui",'00_Parametres'!$B$29="Oui"),I178,F178),I178))</f>
      </c>
      <c r="N178" s="25">
        <f>IF(OR(A178="",H178="",E178=""),0,MAX(0,ROUND((H178-E178)*1440,0)))</f>
      </c>
      <c r="O178" s="25">
        <f>IF(OR(A178="",I178="",F178=""),0,MAX(0,ROUND((F178-I178)*1440,0)))</f>
      </c>
      <c r="P178" s="12">
        <f>IF(OR(L178="",M178=""),0,MAX(0,ROUND((M178-L178)*24-G178,2)))</f>
      </c>
      <c r="Q178" s="12">
        <f>IF(P178=0,0,MIN(P178,'00_Parametres'!$B$23))</f>
      </c>
      <c r="R178" s="12">
        <f>IF(P178=0,0,MAX(0,P178-'00_Parametres'!$B$23))</f>
      </c>
      <c r="S178" s="10"/>
      <c r="T178" s="10"/>
      <c r="U178" s="10"/>
    </row>
    <row r="179" spans="1:21" x14ac:dyDescent="0.25">
      <c r="A179" s="18"/>
      <c r="B179" s="18"/>
      <c r="C179" s="9">
        <f>IF(B179="","",IFERROR(VLOOKUP(B179,'01_Employes'!$A$6:$Q$30,4,FALSE),"⚠ ID inconnu"))</f>
      </c>
      <c r="D179" s="9">
        <f>IF(A179="","",TEXT(A179,"dddd"))</f>
      </c>
      <c r="E179" s="24">
        <f>IF(A179="","",IFERROR(INDEX('00_Parametres'!$C$7:$C$13,WEEKDAY(A179,2)),""))</f>
      </c>
      <c r="F179" s="24">
        <f>IF(A179="","",IFERROR(INDEX('00_Parametres'!$D$7:$D$13,WEEKDAY(A179,2)),""))</f>
      </c>
      <c r="G179" s="24">
        <f>IF(A179="","",IFERROR(INDEX('00_Parametres'!$E$7:$E$13,WEEKDAY(A179,2)),0))</f>
      </c>
      <c r="H179" s="11"/>
      <c r="I179" s="11"/>
      <c r="J179" s="11"/>
      <c r="K179" s="11"/>
      <c r="L179" s="12">
        <f>IF(OR(A179="",H179=""),"",IF(H179&lt;E179,IF(OR(J179="Oui",'00_Parametres'!$B$28="Oui"),H179,E179),H179))</f>
      </c>
      <c r="M179" s="12">
        <f>IF(OR(A179="",I179=""),"",IF(I179&gt;F179,IF(OR(K179="Oui",'00_Parametres'!$B$29="Oui"),I179,F179),I179))</f>
      </c>
      <c r="N179" s="25">
        <f>IF(OR(A179="",H179="",E179=""),0,MAX(0,ROUND((H179-E179)*1440,0)))</f>
      </c>
      <c r="O179" s="25">
        <f>IF(OR(A179="",I179="",F179=""),0,MAX(0,ROUND((F179-I179)*1440,0)))</f>
      </c>
      <c r="P179" s="12">
        <f>IF(OR(L179="",M179=""),0,MAX(0,ROUND((M179-L179)*24-G179,2)))</f>
      </c>
      <c r="Q179" s="12">
        <f>IF(P179=0,0,MIN(P179,'00_Parametres'!$B$23))</f>
      </c>
      <c r="R179" s="12">
        <f>IF(P179=0,0,MAX(0,P179-'00_Parametres'!$B$23))</f>
      </c>
      <c r="S179" s="10"/>
      <c r="T179" s="10"/>
      <c r="U179" s="10"/>
    </row>
    <row r="180" spans="1:21" x14ac:dyDescent="0.25">
      <c r="A180" s="18"/>
      <c r="B180" s="18"/>
      <c r="C180" s="9">
        <f>IF(B180="","",IFERROR(VLOOKUP(B180,'01_Employes'!$A$6:$Q$30,4,FALSE),"⚠ ID inconnu"))</f>
      </c>
      <c r="D180" s="9">
        <f>IF(A180="","",TEXT(A180,"dddd"))</f>
      </c>
      <c r="E180" s="24">
        <f>IF(A180="","",IFERROR(INDEX('00_Parametres'!$C$7:$C$13,WEEKDAY(A180,2)),""))</f>
      </c>
      <c r="F180" s="24">
        <f>IF(A180="","",IFERROR(INDEX('00_Parametres'!$D$7:$D$13,WEEKDAY(A180,2)),""))</f>
      </c>
      <c r="G180" s="24">
        <f>IF(A180="","",IFERROR(INDEX('00_Parametres'!$E$7:$E$13,WEEKDAY(A180,2)),0))</f>
      </c>
      <c r="H180" s="11"/>
      <c r="I180" s="11"/>
      <c r="J180" s="11"/>
      <c r="K180" s="11"/>
      <c r="L180" s="12">
        <f>IF(OR(A180="",H180=""),"",IF(H180&lt;E180,IF(OR(J180="Oui",'00_Parametres'!$B$28="Oui"),H180,E180),H180))</f>
      </c>
      <c r="M180" s="12">
        <f>IF(OR(A180="",I180=""),"",IF(I180&gt;F180,IF(OR(K180="Oui",'00_Parametres'!$B$29="Oui"),I180,F180),I180))</f>
      </c>
      <c r="N180" s="25">
        <f>IF(OR(A180="",H180="",E180=""),0,MAX(0,ROUND((H180-E180)*1440,0)))</f>
      </c>
      <c r="O180" s="25">
        <f>IF(OR(A180="",I180="",F180=""),0,MAX(0,ROUND((F180-I180)*1440,0)))</f>
      </c>
      <c r="P180" s="12">
        <f>IF(OR(L180="",M180=""),0,MAX(0,ROUND((M180-L180)*24-G180,2)))</f>
      </c>
      <c r="Q180" s="12">
        <f>IF(P180=0,0,MIN(P180,'00_Parametres'!$B$23))</f>
      </c>
      <c r="R180" s="12">
        <f>IF(P180=0,0,MAX(0,P180-'00_Parametres'!$B$23))</f>
      </c>
      <c r="S180" s="10"/>
      <c r="T180" s="10"/>
      <c r="U180" s="10"/>
    </row>
    <row r="181" spans="1:21" x14ac:dyDescent="0.25">
      <c r="A181" s="18"/>
      <c r="B181" s="18"/>
      <c r="C181" s="9">
        <f>IF(B181="","",IFERROR(VLOOKUP(B181,'01_Employes'!$A$6:$Q$30,4,FALSE),"⚠ ID inconnu"))</f>
      </c>
      <c r="D181" s="9">
        <f>IF(A181="","",TEXT(A181,"dddd"))</f>
      </c>
      <c r="E181" s="24">
        <f>IF(A181="","",IFERROR(INDEX('00_Parametres'!$C$7:$C$13,WEEKDAY(A181,2)),""))</f>
      </c>
      <c r="F181" s="24">
        <f>IF(A181="","",IFERROR(INDEX('00_Parametres'!$D$7:$D$13,WEEKDAY(A181,2)),""))</f>
      </c>
      <c r="G181" s="24">
        <f>IF(A181="","",IFERROR(INDEX('00_Parametres'!$E$7:$E$13,WEEKDAY(A181,2)),0))</f>
      </c>
      <c r="H181" s="11"/>
      <c r="I181" s="11"/>
      <c r="J181" s="11"/>
      <c r="K181" s="11"/>
      <c r="L181" s="12">
        <f>IF(OR(A181="",H181=""),"",IF(H181&lt;E181,IF(OR(J181="Oui",'00_Parametres'!$B$28="Oui"),H181,E181),H181))</f>
      </c>
      <c r="M181" s="12">
        <f>IF(OR(A181="",I181=""),"",IF(I181&gt;F181,IF(OR(K181="Oui",'00_Parametres'!$B$29="Oui"),I181,F181),I181))</f>
      </c>
      <c r="N181" s="25">
        <f>IF(OR(A181="",H181="",E181=""),0,MAX(0,ROUND((H181-E181)*1440,0)))</f>
      </c>
      <c r="O181" s="25">
        <f>IF(OR(A181="",I181="",F181=""),0,MAX(0,ROUND((F181-I181)*1440,0)))</f>
      </c>
      <c r="P181" s="12">
        <f>IF(OR(L181="",M181=""),0,MAX(0,ROUND((M181-L181)*24-G181,2)))</f>
      </c>
      <c r="Q181" s="12">
        <f>IF(P181=0,0,MIN(P181,'00_Parametres'!$B$23))</f>
      </c>
      <c r="R181" s="12">
        <f>IF(P181=0,0,MAX(0,P181-'00_Parametres'!$B$23))</f>
      </c>
      <c r="S181" s="10"/>
      <c r="T181" s="10"/>
      <c r="U181" s="10"/>
    </row>
    <row r="182" spans="1:21" x14ac:dyDescent="0.25">
      <c r="A182" s="18"/>
      <c r="B182" s="18"/>
      <c r="C182" s="9">
        <f>IF(B182="","",IFERROR(VLOOKUP(B182,'01_Employes'!$A$6:$Q$30,4,FALSE),"⚠ ID inconnu"))</f>
      </c>
      <c r="D182" s="9">
        <f>IF(A182="","",TEXT(A182,"dddd"))</f>
      </c>
      <c r="E182" s="24">
        <f>IF(A182="","",IFERROR(INDEX('00_Parametres'!$C$7:$C$13,WEEKDAY(A182,2)),""))</f>
      </c>
      <c r="F182" s="24">
        <f>IF(A182="","",IFERROR(INDEX('00_Parametres'!$D$7:$D$13,WEEKDAY(A182,2)),""))</f>
      </c>
      <c r="G182" s="24">
        <f>IF(A182="","",IFERROR(INDEX('00_Parametres'!$E$7:$E$13,WEEKDAY(A182,2)),0))</f>
      </c>
      <c r="H182" s="11"/>
      <c r="I182" s="11"/>
      <c r="J182" s="11"/>
      <c r="K182" s="11"/>
      <c r="L182" s="12">
        <f>IF(OR(A182="",H182=""),"",IF(H182&lt;E182,IF(OR(J182="Oui",'00_Parametres'!$B$28="Oui"),H182,E182),H182))</f>
      </c>
      <c r="M182" s="12">
        <f>IF(OR(A182="",I182=""),"",IF(I182&gt;F182,IF(OR(K182="Oui",'00_Parametres'!$B$29="Oui"),I182,F182),I182))</f>
      </c>
      <c r="N182" s="25">
        <f>IF(OR(A182="",H182="",E182=""),0,MAX(0,ROUND((H182-E182)*1440,0)))</f>
      </c>
      <c r="O182" s="25">
        <f>IF(OR(A182="",I182="",F182=""),0,MAX(0,ROUND((F182-I182)*1440,0)))</f>
      </c>
      <c r="P182" s="12">
        <f>IF(OR(L182="",M182=""),0,MAX(0,ROUND((M182-L182)*24-G182,2)))</f>
      </c>
      <c r="Q182" s="12">
        <f>IF(P182=0,0,MIN(P182,'00_Parametres'!$B$23))</f>
      </c>
      <c r="R182" s="12">
        <f>IF(P182=0,0,MAX(0,P182-'00_Parametres'!$B$23))</f>
      </c>
      <c r="S182" s="10"/>
      <c r="T182" s="10"/>
      <c r="U182" s="10"/>
    </row>
    <row r="183" spans="1:21" x14ac:dyDescent="0.25">
      <c r="A183" s="18"/>
      <c r="B183" s="18"/>
      <c r="C183" s="9">
        <f>IF(B183="","",IFERROR(VLOOKUP(B183,'01_Employes'!$A$6:$Q$30,4,FALSE),"⚠ ID inconnu"))</f>
      </c>
      <c r="D183" s="9">
        <f>IF(A183="","",TEXT(A183,"dddd"))</f>
      </c>
      <c r="E183" s="24">
        <f>IF(A183="","",IFERROR(INDEX('00_Parametres'!$C$7:$C$13,WEEKDAY(A183,2)),""))</f>
      </c>
      <c r="F183" s="24">
        <f>IF(A183="","",IFERROR(INDEX('00_Parametres'!$D$7:$D$13,WEEKDAY(A183,2)),""))</f>
      </c>
      <c r="G183" s="24">
        <f>IF(A183="","",IFERROR(INDEX('00_Parametres'!$E$7:$E$13,WEEKDAY(A183,2)),0))</f>
      </c>
      <c r="H183" s="11"/>
      <c r="I183" s="11"/>
      <c r="J183" s="11"/>
      <c r="K183" s="11"/>
      <c r="L183" s="12">
        <f>IF(OR(A183="",H183=""),"",IF(H183&lt;E183,IF(OR(J183="Oui",'00_Parametres'!$B$28="Oui"),H183,E183),H183))</f>
      </c>
      <c r="M183" s="12">
        <f>IF(OR(A183="",I183=""),"",IF(I183&gt;F183,IF(OR(K183="Oui",'00_Parametres'!$B$29="Oui"),I183,F183),I183))</f>
      </c>
      <c r="N183" s="25">
        <f>IF(OR(A183="",H183="",E183=""),0,MAX(0,ROUND((H183-E183)*1440,0)))</f>
      </c>
      <c r="O183" s="25">
        <f>IF(OR(A183="",I183="",F183=""),0,MAX(0,ROUND((F183-I183)*1440,0)))</f>
      </c>
      <c r="P183" s="12">
        <f>IF(OR(L183="",M183=""),0,MAX(0,ROUND((M183-L183)*24-G183,2)))</f>
      </c>
      <c r="Q183" s="12">
        <f>IF(P183=0,0,MIN(P183,'00_Parametres'!$B$23))</f>
      </c>
      <c r="R183" s="12">
        <f>IF(P183=0,0,MAX(0,P183-'00_Parametres'!$B$23))</f>
      </c>
      <c r="S183" s="10"/>
      <c r="T183" s="10"/>
      <c r="U183" s="10"/>
    </row>
    <row r="184" spans="1:21" x14ac:dyDescent="0.25">
      <c r="A184" s="18"/>
      <c r="B184" s="18"/>
      <c r="C184" s="9">
        <f>IF(B184="","",IFERROR(VLOOKUP(B184,'01_Employes'!$A$6:$Q$30,4,FALSE),"⚠ ID inconnu"))</f>
      </c>
      <c r="D184" s="9">
        <f>IF(A184="","",TEXT(A184,"dddd"))</f>
      </c>
      <c r="E184" s="24">
        <f>IF(A184="","",IFERROR(INDEX('00_Parametres'!$C$7:$C$13,WEEKDAY(A184,2)),""))</f>
      </c>
      <c r="F184" s="24">
        <f>IF(A184="","",IFERROR(INDEX('00_Parametres'!$D$7:$D$13,WEEKDAY(A184,2)),""))</f>
      </c>
      <c r="G184" s="24">
        <f>IF(A184="","",IFERROR(INDEX('00_Parametres'!$E$7:$E$13,WEEKDAY(A184,2)),0))</f>
      </c>
      <c r="H184" s="11"/>
      <c r="I184" s="11"/>
      <c r="J184" s="11"/>
      <c r="K184" s="11"/>
      <c r="L184" s="12">
        <f>IF(OR(A184="",H184=""),"",IF(H184&lt;E184,IF(OR(J184="Oui",'00_Parametres'!$B$28="Oui"),H184,E184),H184))</f>
      </c>
      <c r="M184" s="12">
        <f>IF(OR(A184="",I184=""),"",IF(I184&gt;F184,IF(OR(K184="Oui",'00_Parametres'!$B$29="Oui"),I184,F184),I184))</f>
      </c>
      <c r="N184" s="25">
        <f>IF(OR(A184="",H184="",E184=""),0,MAX(0,ROUND((H184-E184)*1440,0)))</f>
      </c>
      <c r="O184" s="25">
        <f>IF(OR(A184="",I184="",F184=""),0,MAX(0,ROUND((F184-I184)*1440,0)))</f>
      </c>
      <c r="P184" s="12">
        <f>IF(OR(L184="",M184=""),0,MAX(0,ROUND((M184-L184)*24-G184,2)))</f>
      </c>
      <c r="Q184" s="12">
        <f>IF(P184=0,0,MIN(P184,'00_Parametres'!$B$23))</f>
      </c>
      <c r="R184" s="12">
        <f>IF(P184=0,0,MAX(0,P184-'00_Parametres'!$B$23))</f>
      </c>
      <c r="S184" s="10"/>
      <c r="T184" s="10"/>
      <c r="U184" s="10"/>
    </row>
    <row r="185" spans="1:21" x14ac:dyDescent="0.25">
      <c r="A185" s="18"/>
      <c r="B185" s="18"/>
      <c r="C185" s="9">
        <f>IF(B185="","",IFERROR(VLOOKUP(B185,'01_Employes'!$A$6:$Q$30,4,FALSE),"⚠ ID inconnu"))</f>
      </c>
      <c r="D185" s="9">
        <f>IF(A185="","",TEXT(A185,"dddd"))</f>
      </c>
      <c r="E185" s="24">
        <f>IF(A185="","",IFERROR(INDEX('00_Parametres'!$C$7:$C$13,WEEKDAY(A185,2)),""))</f>
      </c>
      <c r="F185" s="24">
        <f>IF(A185="","",IFERROR(INDEX('00_Parametres'!$D$7:$D$13,WEEKDAY(A185,2)),""))</f>
      </c>
      <c r="G185" s="24">
        <f>IF(A185="","",IFERROR(INDEX('00_Parametres'!$E$7:$E$13,WEEKDAY(A185,2)),0))</f>
      </c>
      <c r="H185" s="11"/>
      <c r="I185" s="11"/>
      <c r="J185" s="11"/>
      <c r="K185" s="11"/>
      <c r="L185" s="12">
        <f>IF(OR(A185="",H185=""),"",IF(H185&lt;E185,IF(OR(J185="Oui",'00_Parametres'!$B$28="Oui"),H185,E185),H185))</f>
      </c>
      <c r="M185" s="12">
        <f>IF(OR(A185="",I185=""),"",IF(I185&gt;F185,IF(OR(K185="Oui",'00_Parametres'!$B$29="Oui"),I185,F185),I185))</f>
      </c>
      <c r="N185" s="25">
        <f>IF(OR(A185="",H185="",E185=""),0,MAX(0,ROUND((H185-E185)*1440,0)))</f>
      </c>
      <c r="O185" s="25">
        <f>IF(OR(A185="",I185="",F185=""),0,MAX(0,ROUND((F185-I185)*1440,0)))</f>
      </c>
      <c r="P185" s="12">
        <f>IF(OR(L185="",M185=""),0,MAX(0,ROUND((M185-L185)*24-G185,2)))</f>
      </c>
      <c r="Q185" s="12">
        <f>IF(P185=0,0,MIN(P185,'00_Parametres'!$B$23))</f>
      </c>
      <c r="R185" s="12">
        <f>IF(P185=0,0,MAX(0,P185-'00_Parametres'!$B$23))</f>
      </c>
      <c r="S185" s="10"/>
      <c r="T185" s="10"/>
      <c r="U185" s="10"/>
    </row>
    <row r="186" spans="1:21" x14ac:dyDescent="0.25">
      <c r="A186" s="18"/>
      <c r="B186" s="18"/>
      <c r="C186" s="9">
        <f>IF(B186="","",IFERROR(VLOOKUP(B186,'01_Employes'!$A$6:$Q$30,4,FALSE),"⚠ ID inconnu"))</f>
      </c>
      <c r="D186" s="9">
        <f>IF(A186="","",TEXT(A186,"dddd"))</f>
      </c>
      <c r="E186" s="24">
        <f>IF(A186="","",IFERROR(INDEX('00_Parametres'!$C$7:$C$13,WEEKDAY(A186,2)),""))</f>
      </c>
      <c r="F186" s="24">
        <f>IF(A186="","",IFERROR(INDEX('00_Parametres'!$D$7:$D$13,WEEKDAY(A186,2)),""))</f>
      </c>
      <c r="G186" s="24">
        <f>IF(A186="","",IFERROR(INDEX('00_Parametres'!$E$7:$E$13,WEEKDAY(A186,2)),0))</f>
      </c>
      <c r="H186" s="11"/>
      <c r="I186" s="11"/>
      <c r="J186" s="11"/>
      <c r="K186" s="11"/>
      <c r="L186" s="12">
        <f>IF(OR(A186="",H186=""),"",IF(H186&lt;E186,IF(OR(J186="Oui",'00_Parametres'!$B$28="Oui"),H186,E186),H186))</f>
      </c>
      <c r="M186" s="12">
        <f>IF(OR(A186="",I186=""),"",IF(I186&gt;F186,IF(OR(K186="Oui",'00_Parametres'!$B$29="Oui"),I186,F186),I186))</f>
      </c>
      <c r="N186" s="25">
        <f>IF(OR(A186="",H186="",E186=""),0,MAX(0,ROUND((H186-E186)*1440,0)))</f>
      </c>
      <c r="O186" s="25">
        <f>IF(OR(A186="",I186="",F186=""),0,MAX(0,ROUND((F186-I186)*1440,0)))</f>
      </c>
      <c r="P186" s="12">
        <f>IF(OR(L186="",M186=""),0,MAX(0,ROUND((M186-L186)*24-G186,2)))</f>
      </c>
      <c r="Q186" s="12">
        <f>IF(P186=0,0,MIN(P186,'00_Parametres'!$B$23))</f>
      </c>
      <c r="R186" s="12">
        <f>IF(P186=0,0,MAX(0,P186-'00_Parametres'!$B$23))</f>
      </c>
      <c r="S186" s="10"/>
      <c r="T186" s="10"/>
      <c r="U186" s="10"/>
    </row>
    <row r="187" spans="1:21" x14ac:dyDescent="0.25">
      <c r="A187" s="18"/>
      <c r="B187" s="18"/>
      <c r="C187" s="9">
        <f>IF(B187="","",IFERROR(VLOOKUP(B187,'01_Employes'!$A$6:$Q$30,4,FALSE),"⚠ ID inconnu"))</f>
      </c>
      <c r="D187" s="9">
        <f>IF(A187="","",TEXT(A187,"dddd"))</f>
      </c>
      <c r="E187" s="24">
        <f>IF(A187="","",IFERROR(INDEX('00_Parametres'!$C$7:$C$13,WEEKDAY(A187,2)),""))</f>
      </c>
      <c r="F187" s="24">
        <f>IF(A187="","",IFERROR(INDEX('00_Parametres'!$D$7:$D$13,WEEKDAY(A187,2)),""))</f>
      </c>
      <c r="G187" s="24">
        <f>IF(A187="","",IFERROR(INDEX('00_Parametres'!$E$7:$E$13,WEEKDAY(A187,2)),0))</f>
      </c>
      <c r="H187" s="11"/>
      <c r="I187" s="11"/>
      <c r="J187" s="11"/>
      <c r="K187" s="11"/>
      <c r="L187" s="12">
        <f>IF(OR(A187="",H187=""),"",IF(H187&lt;E187,IF(OR(J187="Oui",'00_Parametres'!$B$28="Oui"),H187,E187),H187))</f>
      </c>
      <c r="M187" s="12">
        <f>IF(OR(A187="",I187=""),"",IF(I187&gt;F187,IF(OR(K187="Oui",'00_Parametres'!$B$29="Oui"),I187,F187),I187))</f>
      </c>
      <c r="N187" s="25">
        <f>IF(OR(A187="",H187="",E187=""),0,MAX(0,ROUND((H187-E187)*1440,0)))</f>
      </c>
      <c r="O187" s="25">
        <f>IF(OR(A187="",I187="",F187=""),0,MAX(0,ROUND((F187-I187)*1440,0)))</f>
      </c>
      <c r="P187" s="12">
        <f>IF(OR(L187="",M187=""),0,MAX(0,ROUND((M187-L187)*24-G187,2)))</f>
      </c>
      <c r="Q187" s="12">
        <f>IF(P187=0,0,MIN(P187,'00_Parametres'!$B$23))</f>
      </c>
      <c r="R187" s="12">
        <f>IF(P187=0,0,MAX(0,P187-'00_Parametres'!$B$23))</f>
      </c>
      <c r="S187" s="10"/>
      <c r="T187" s="10"/>
      <c r="U187" s="10"/>
    </row>
    <row r="188" spans="1:21" x14ac:dyDescent="0.25">
      <c r="A188" s="18"/>
      <c r="B188" s="18"/>
      <c r="C188" s="9">
        <f>IF(B188="","",IFERROR(VLOOKUP(B188,'01_Employes'!$A$6:$Q$30,4,FALSE),"⚠ ID inconnu"))</f>
      </c>
      <c r="D188" s="9">
        <f>IF(A188="","",TEXT(A188,"dddd"))</f>
      </c>
      <c r="E188" s="24">
        <f>IF(A188="","",IFERROR(INDEX('00_Parametres'!$C$7:$C$13,WEEKDAY(A188,2)),""))</f>
      </c>
      <c r="F188" s="24">
        <f>IF(A188="","",IFERROR(INDEX('00_Parametres'!$D$7:$D$13,WEEKDAY(A188,2)),""))</f>
      </c>
      <c r="G188" s="24">
        <f>IF(A188="","",IFERROR(INDEX('00_Parametres'!$E$7:$E$13,WEEKDAY(A188,2)),0))</f>
      </c>
      <c r="H188" s="11"/>
      <c r="I188" s="11"/>
      <c r="J188" s="11"/>
      <c r="K188" s="11"/>
      <c r="L188" s="12">
        <f>IF(OR(A188="",H188=""),"",IF(H188&lt;E188,IF(OR(J188="Oui",'00_Parametres'!$B$28="Oui"),H188,E188),H188))</f>
      </c>
      <c r="M188" s="12">
        <f>IF(OR(A188="",I188=""),"",IF(I188&gt;F188,IF(OR(K188="Oui",'00_Parametres'!$B$29="Oui"),I188,F188),I188))</f>
      </c>
      <c r="N188" s="25">
        <f>IF(OR(A188="",H188="",E188=""),0,MAX(0,ROUND((H188-E188)*1440,0)))</f>
      </c>
      <c r="O188" s="25">
        <f>IF(OR(A188="",I188="",F188=""),0,MAX(0,ROUND((F188-I188)*1440,0)))</f>
      </c>
      <c r="P188" s="12">
        <f>IF(OR(L188="",M188=""),0,MAX(0,ROUND((M188-L188)*24-G188,2)))</f>
      </c>
      <c r="Q188" s="12">
        <f>IF(P188=0,0,MIN(P188,'00_Parametres'!$B$23))</f>
      </c>
      <c r="R188" s="12">
        <f>IF(P188=0,0,MAX(0,P188-'00_Parametres'!$B$23))</f>
      </c>
      <c r="S188" s="10"/>
      <c r="T188" s="10"/>
      <c r="U188" s="10"/>
    </row>
    <row r="189" spans="1:21" x14ac:dyDescent="0.25">
      <c r="A189" s="18"/>
      <c r="B189" s="18"/>
      <c r="C189" s="9">
        <f>IF(B189="","",IFERROR(VLOOKUP(B189,'01_Employes'!$A$6:$Q$30,4,FALSE),"⚠ ID inconnu"))</f>
      </c>
      <c r="D189" s="9">
        <f>IF(A189="","",TEXT(A189,"dddd"))</f>
      </c>
      <c r="E189" s="24">
        <f>IF(A189="","",IFERROR(INDEX('00_Parametres'!$C$7:$C$13,WEEKDAY(A189,2)),""))</f>
      </c>
      <c r="F189" s="24">
        <f>IF(A189="","",IFERROR(INDEX('00_Parametres'!$D$7:$D$13,WEEKDAY(A189,2)),""))</f>
      </c>
      <c r="G189" s="24">
        <f>IF(A189="","",IFERROR(INDEX('00_Parametres'!$E$7:$E$13,WEEKDAY(A189,2)),0))</f>
      </c>
      <c r="H189" s="11"/>
      <c r="I189" s="11"/>
      <c r="J189" s="11"/>
      <c r="K189" s="11"/>
      <c r="L189" s="12">
        <f>IF(OR(A189="",H189=""),"",IF(H189&lt;E189,IF(OR(J189="Oui",'00_Parametres'!$B$28="Oui"),H189,E189),H189))</f>
      </c>
      <c r="M189" s="12">
        <f>IF(OR(A189="",I189=""),"",IF(I189&gt;F189,IF(OR(K189="Oui",'00_Parametres'!$B$29="Oui"),I189,F189),I189))</f>
      </c>
      <c r="N189" s="25">
        <f>IF(OR(A189="",H189="",E189=""),0,MAX(0,ROUND((H189-E189)*1440,0)))</f>
      </c>
      <c r="O189" s="25">
        <f>IF(OR(A189="",I189="",F189=""),0,MAX(0,ROUND((F189-I189)*1440,0)))</f>
      </c>
      <c r="P189" s="12">
        <f>IF(OR(L189="",M189=""),0,MAX(0,ROUND((M189-L189)*24-G189,2)))</f>
      </c>
      <c r="Q189" s="12">
        <f>IF(P189=0,0,MIN(P189,'00_Parametres'!$B$23))</f>
      </c>
      <c r="R189" s="12">
        <f>IF(P189=0,0,MAX(0,P189-'00_Parametres'!$B$23))</f>
      </c>
      <c r="S189" s="10"/>
      <c r="T189" s="10"/>
      <c r="U189" s="10"/>
    </row>
    <row r="190" spans="1:21" x14ac:dyDescent="0.25">
      <c r="A190" s="18"/>
      <c r="B190" s="18"/>
      <c r="C190" s="9">
        <f>IF(B190="","",IFERROR(VLOOKUP(B190,'01_Employes'!$A$6:$Q$30,4,FALSE),"⚠ ID inconnu"))</f>
      </c>
      <c r="D190" s="9">
        <f>IF(A190="","",TEXT(A190,"dddd"))</f>
      </c>
      <c r="E190" s="24">
        <f>IF(A190="","",IFERROR(INDEX('00_Parametres'!$C$7:$C$13,WEEKDAY(A190,2)),""))</f>
      </c>
      <c r="F190" s="24">
        <f>IF(A190="","",IFERROR(INDEX('00_Parametres'!$D$7:$D$13,WEEKDAY(A190,2)),""))</f>
      </c>
      <c r="G190" s="24">
        <f>IF(A190="","",IFERROR(INDEX('00_Parametres'!$E$7:$E$13,WEEKDAY(A190,2)),0))</f>
      </c>
      <c r="H190" s="11"/>
      <c r="I190" s="11"/>
      <c r="J190" s="11"/>
      <c r="K190" s="11"/>
      <c r="L190" s="12">
        <f>IF(OR(A190="",H190=""),"",IF(H190&lt;E190,IF(OR(J190="Oui",'00_Parametres'!$B$28="Oui"),H190,E190),H190))</f>
      </c>
      <c r="M190" s="12">
        <f>IF(OR(A190="",I190=""),"",IF(I190&gt;F190,IF(OR(K190="Oui",'00_Parametres'!$B$29="Oui"),I190,F190),I190))</f>
      </c>
      <c r="N190" s="25">
        <f>IF(OR(A190="",H190="",E190=""),0,MAX(0,ROUND((H190-E190)*1440,0)))</f>
      </c>
      <c r="O190" s="25">
        <f>IF(OR(A190="",I190="",F190=""),0,MAX(0,ROUND((F190-I190)*1440,0)))</f>
      </c>
      <c r="P190" s="12">
        <f>IF(OR(L190="",M190=""),0,MAX(0,ROUND((M190-L190)*24-G190,2)))</f>
      </c>
      <c r="Q190" s="12">
        <f>IF(P190=0,0,MIN(P190,'00_Parametres'!$B$23))</f>
      </c>
      <c r="R190" s="12">
        <f>IF(P190=0,0,MAX(0,P190-'00_Parametres'!$B$23))</f>
      </c>
      <c r="S190" s="10"/>
      <c r="T190" s="10"/>
      <c r="U190" s="10"/>
    </row>
    <row r="191" spans="1:21" x14ac:dyDescent="0.25">
      <c r="A191" s="18"/>
      <c r="B191" s="18"/>
      <c r="C191" s="9">
        <f>IF(B191="","",IFERROR(VLOOKUP(B191,'01_Employes'!$A$6:$Q$30,4,FALSE),"⚠ ID inconnu"))</f>
      </c>
      <c r="D191" s="9">
        <f>IF(A191="","",TEXT(A191,"dddd"))</f>
      </c>
      <c r="E191" s="24">
        <f>IF(A191="","",IFERROR(INDEX('00_Parametres'!$C$7:$C$13,WEEKDAY(A191,2)),""))</f>
      </c>
      <c r="F191" s="24">
        <f>IF(A191="","",IFERROR(INDEX('00_Parametres'!$D$7:$D$13,WEEKDAY(A191,2)),""))</f>
      </c>
      <c r="G191" s="24">
        <f>IF(A191="","",IFERROR(INDEX('00_Parametres'!$E$7:$E$13,WEEKDAY(A191,2)),0))</f>
      </c>
      <c r="H191" s="11"/>
      <c r="I191" s="11"/>
      <c r="J191" s="11"/>
      <c r="K191" s="11"/>
      <c r="L191" s="12">
        <f>IF(OR(A191="",H191=""),"",IF(H191&lt;E191,IF(OR(J191="Oui",'00_Parametres'!$B$28="Oui"),H191,E191),H191))</f>
      </c>
      <c r="M191" s="12">
        <f>IF(OR(A191="",I191=""),"",IF(I191&gt;F191,IF(OR(K191="Oui",'00_Parametres'!$B$29="Oui"),I191,F191),I191))</f>
      </c>
      <c r="N191" s="25">
        <f>IF(OR(A191="",H191="",E191=""),0,MAX(0,ROUND((H191-E191)*1440,0)))</f>
      </c>
      <c r="O191" s="25">
        <f>IF(OR(A191="",I191="",F191=""),0,MAX(0,ROUND((F191-I191)*1440,0)))</f>
      </c>
      <c r="P191" s="12">
        <f>IF(OR(L191="",M191=""),0,MAX(0,ROUND((M191-L191)*24-G191,2)))</f>
      </c>
      <c r="Q191" s="12">
        <f>IF(P191=0,0,MIN(P191,'00_Parametres'!$B$23))</f>
      </c>
      <c r="R191" s="12">
        <f>IF(P191=0,0,MAX(0,P191-'00_Parametres'!$B$23))</f>
      </c>
      <c r="S191" s="10"/>
      <c r="T191" s="10"/>
      <c r="U191" s="10"/>
    </row>
    <row r="192" spans="1:21" x14ac:dyDescent="0.25">
      <c r="A192" s="18"/>
      <c r="B192" s="18"/>
      <c r="C192" s="9">
        <f>IF(B192="","",IFERROR(VLOOKUP(B192,'01_Employes'!$A$6:$Q$30,4,FALSE),"⚠ ID inconnu"))</f>
      </c>
      <c r="D192" s="9">
        <f>IF(A192="","",TEXT(A192,"dddd"))</f>
      </c>
      <c r="E192" s="24">
        <f>IF(A192="","",IFERROR(INDEX('00_Parametres'!$C$7:$C$13,WEEKDAY(A192,2)),""))</f>
      </c>
      <c r="F192" s="24">
        <f>IF(A192="","",IFERROR(INDEX('00_Parametres'!$D$7:$D$13,WEEKDAY(A192,2)),""))</f>
      </c>
      <c r="G192" s="24">
        <f>IF(A192="","",IFERROR(INDEX('00_Parametres'!$E$7:$E$13,WEEKDAY(A192,2)),0))</f>
      </c>
      <c r="H192" s="11"/>
      <c r="I192" s="11"/>
      <c r="J192" s="11"/>
      <c r="K192" s="11"/>
      <c r="L192" s="12">
        <f>IF(OR(A192="",H192=""),"",IF(H192&lt;E192,IF(OR(J192="Oui",'00_Parametres'!$B$28="Oui"),H192,E192),H192))</f>
      </c>
      <c r="M192" s="12">
        <f>IF(OR(A192="",I192=""),"",IF(I192&gt;F192,IF(OR(K192="Oui",'00_Parametres'!$B$29="Oui"),I192,F192),I192))</f>
      </c>
      <c r="N192" s="25">
        <f>IF(OR(A192="",H192="",E192=""),0,MAX(0,ROUND((H192-E192)*1440,0)))</f>
      </c>
      <c r="O192" s="25">
        <f>IF(OR(A192="",I192="",F192=""),0,MAX(0,ROUND((F192-I192)*1440,0)))</f>
      </c>
      <c r="P192" s="12">
        <f>IF(OR(L192="",M192=""),0,MAX(0,ROUND((M192-L192)*24-G192,2)))</f>
      </c>
      <c r="Q192" s="12">
        <f>IF(P192=0,0,MIN(P192,'00_Parametres'!$B$23))</f>
      </c>
      <c r="R192" s="12">
        <f>IF(P192=0,0,MAX(0,P192-'00_Parametres'!$B$23))</f>
      </c>
      <c r="S192" s="10"/>
      <c r="T192" s="10"/>
      <c r="U192" s="10"/>
    </row>
    <row r="193" spans="1:21" x14ac:dyDescent="0.25">
      <c r="A193" s="18"/>
      <c r="B193" s="18"/>
      <c r="C193" s="9">
        <f>IF(B193="","",IFERROR(VLOOKUP(B193,'01_Employes'!$A$6:$Q$30,4,FALSE),"⚠ ID inconnu"))</f>
      </c>
      <c r="D193" s="9">
        <f>IF(A193="","",TEXT(A193,"dddd"))</f>
      </c>
      <c r="E193" s="24">
        <f>IF(A193="","",IFERROR(INDEX('00_Parametres'!$C$7:$C$13,WEEKDAY(A193,2)),""))</f>
      </c>
      <c r="F193" s="24">
        <f>IF(A193="","",IFERROR(INDEX('00_Parametres'!$D$7:$D$13,WEEKDAY(A193,2)),""))</f>
      </c>
      <c r="G193" s="24">
        <f>IF(A193="","",IFERROR(INDEX('00_Parametres'!$E$7:$E$13,WEEKDAY(A193,2)),0))</f>
      </c>
      <c r="H193" s="11"/>
      <c r="I193" s="11"/>
      <c r="J193" s="11"/>
      <c r="K193" s="11"/>
      <c r="L193" s="12">
        <f>IF(OR(A193="",H193=""),"",IF(H193&lt;E193,IF(OR(J193="Oui",'00_Parametres'!$B$28="Oui"),H193,E193),H193))</f>
      </c>
      <c r="M193" s="12">
        <f>IF(OR(A193="",I193=""),"",IF(I193&gt;F193,IF(OR(K193="Oui",'00_Parametres'!$B$29="Oui"),I193,F193),I193))</f>
      </c>
      <c r="N193" s="25">
        <f>IF(OR(A193="",H193="",E193=""),0,MAX(0,ROUND((H193-E193)*1440,0)))</f>
      </c>
      <c r="O193" s="25">
        <f>IF(OR(A193="",I193="",F193=""),0,MAX(0,ROUND((F193-I193)*1440,0)))</f>
      </c>
      <c r="P193" s="12">
        <f>IF(OR(L193="",M193=""),0,MAX(0,ROUND((M193-L193)*24-G193,2)))</f>
      </c>
      <c r="Q193" s="12">
        <f>IF(P193=0,0,MIN(P193,'00_Parametres'!$B$23))</f>
      </c>
      <c r="R193" s="12">
        <f>IF(P193=0,0,MAX(0,P193-'00_Parametres'!$B$23))</f>
      </c>
      <c r="S193" s="10"/>
      <c r="T193" s="10"/>
      <c r="U193" s="10"/>
    </row>
    <row r="194" spans="1:21" x14ac:dyDescent="0.25">
      <c r="A194" s="18"/>
      <c r="B194" s="18"/>
      <c r="C194" s="9">
        <f>IF(B194="","",IFERROR(VLOOKUP(B194,'01_Employes'!$A$6:$Q$30,4,FALSE),"⚠ ID inconnu"))</f>
      </c>
      <c r="D194" s="9">
        <f>IF(A194="","",TEXT(A194,"dddd"))</f>
      </c>
      <c r="E194" s="24">
        <f>IF(A194="","",IFERROR(INDEX('00_Parametres'!$C$7:$C$13,WEEKDAY(A194,2)),""))</f>
      </c>
      <c r="F194" s="24">
        <f>IF(A194="","",IFERROR(INDEX('00_Parametres'!$D$7:$D$13,WEEKDAY(A194,2)),""))</f>
      </c>
      <c r="G194" s="24">
        <f>IF(A194="","",IFERROR(INDEX('00_Parametres'!$E$7:$E$13,WEEKDAY(A194,2)),0))</f>
      </c>
      <c r="H194" s="11"/>
      <c r="I194" s="11"/>
      <c r="J194" s="11"/>
      <c r="K194" s="11"/>
      <c r="L194" s="12">
        <f>IF(OR(A194="",H194=""),"",IF(H194&lt;E194,IF(OR(J194="Oui",'00_Parametres'!$B$28="Oui"),H194,E194),H194))</f>
      </c>
      <c r="M194" s="12">
        <f>IF(OR(A194="",I194=""),"",IF(I194&gt;F194,IF(OR(K194="Oui",'00_Parametres'!$B$29="Oui"),I194,F194),I194))</f>
      </c>
      <c r="N194" s="25">
        <f>IF(OR(A194="",H194="",E194=""),0,MAX(0,ROUND((H194-E194)*1440,0)))</f>
      </c>
      <c r="O194" s="25">
        <f>IF(OR(A194="",I194="",F194=""),0,MAX(0,ROUND((F194-I194)*1440,0)))</f>
      </c>
      <c r="P194" s="12">
        <f>IF(OR(L194="",M194=""),0,MAX(0,ROUND((M194-L194)*24-G194,2)))</f>
      </c>
      <c r="Q194" s="12">
        <f>IF(P194=0,0,MIN(P194,'00_Parametres'!$B$23))</f>
      </c>
      <c r="R194" s="12">
        <f>IF(P194=0,0,MAX(0,P194-'00_Parametres'!$B$23))</f>
      </c>
      <c r="S194" s="10"/>
      <c r="T194" s="10"/>
      <c r="U194" s="10"/>
    </row>
    <row r="195" spans="1:21" x14ac:dyDescent="0.25">
      <c r="A195" s="18"/>
      <c r="B195" s="18"/>
      <c r="C195" s="9">
        <f>IF(B195="","",IFERROR(VLOOKUP(B195,'01_Employes'!$A$6:$Q$30,4,FALSE),"⚠ ID inconnu"))</f>
      </c>
      <c r="D195" s="9">
        <f>IF(A195="","",TEXT(A195,"dddd"))</f>
      </c>
      <c r="E195" s="24">
        <f>IF(A195="","",IFERROR(INDEX('00_Parametres'!$C$7:$C$13,WEEKDAY(A195,2)),""))</f>
      </c>
      <c r="F195" s="24">
        <f>IF(A195="","",IFERROR(INDEX('00_Parametres'!$D$7:$D$13,WEEKDAY(A195,2)),""))</f>
      </c>
      <c r="G195" s="24">
        <f>IF(A195="","",IFERROR(INDEX('00_Parametres'!$E$7:$E$13,WEEKDAY(A195,2)),0))</f>
      </c>
      <c r="H195" s="11"/>
      <c r="I195" s="11"/>
      <c r="J195" s="11"/>
      <c r="K195" s="11"/>
      <c r="L195" s="12">
        <f>IF(OR(A195="",H195=""),"",IF(H195&lt;E195,IF(OR(J195="Oui",'00_Parametres'!$B$28="Oui"),H195,E195),H195))</f>
      </c>
      <c r="M195" s="12">
        <f>IF(OR(A195="",I195=""),"",IF(I195&gt;F195,IF(OR(K195="Oui",'00_Parametres'!$B$29="Oui"),I195,F195),I195))</f>
      </c>
      <c r="N195" s="25">
        <f>IF(OR(A195="",H195="",E195=""),0,MAX(0,ROUND((H195-E195)*1440,0)))</f>
      </c>
      <c r="O195" s="25">
        <f>IF(OR(A195="",I195="",F195=""),0,MAX(0,ROUND((F195-I195)*1440,0)))</f>
      </c>
      <c r="P195" s="12">
        <f>IF(OR(L195="",M195=""),0,MAX(0,ROUND((M195-L195)*24-G195,2)))</f>
      </c>
      <c r="Q195" s="12">
        <f>IF(P195=0,0,MIN(P195,'00_Parametres'!$B$23))</f>
      </c>
      <c r="R195" s="12">
        <f>IF(P195=0,0,MAX(0,P195-'00_Parametres'!$B$23))</f>
      </c>
      <c r="S195" s="10"/>
      <c r="T195" s="10"/>
      <c r="U195" s="10"/>
    </row>
    <row r="196" spans="1:21" x14ac:dyDescent="0.25">
      <c r="A196" s="18"/>
      <c r="B196" s="18"/>
      <c r="C196" s="9">
        <f>IF(B196="","",IFERROR(VLOOKUP(B196,'01_Employes'!$A$6:$Q$30,4,FALSE),"⚠ ID inconnu"))</f>
      </c>
      <c r="D196" s="9">
        <f>IF(A196="","",TEXT(A196,"dddd"))</f>
      </c>
      <c r="E196" s="24">
        <f>IF(A196="","",IFERROR(INDEX('00_Parametres'!$C$7:$C$13,WEEKDAY(A196,2)),""))</f>
      </c>
      <c r="F196" s="24">
        <f>IF(A196="","",IFERROR(INDEX('00_Parametres'!$D$7:$D$13,WEEKDAY(A196,2)),""))</f>
      </c>
      <c r="G196" s="24">
        <f>IF(A196="","",IFERROR(INDEX('00_Parametres'!$E$7:$E$13,WEEKDAY(A196,2)),0))</f>
      </c>
      <c r="H196" s="11"/>
      <c r="I196" s="11"/>
      <c r="J196" s="11"/>
      <c r="K196" s="11"/>
      <c r="L196" s="12">
        <f>IF(OR(A196="",H196=""),"",IF(H196&lt;E196,IF(OR(J196="Oui",'00_Parametres'!$B$28="Oui"),H196,E196),H196))</f>
      </c>
      <c r="M196" s="12">
        <f>IF(OR(A196="",I196=""),"",IF(I196&gt;F196,IF(OR(K196="Oui",'00_Parametres'!$B$29="Oui"),I196,F196),I196))</f>
      </c>
      <c r="N196" s="25">
        <f>IF(OR(A196="",H196="",E196=""),0,MAX(0,ROUND((H196-E196)*1440,0)))</f>
      </c>
      <c r="O196" s="25">
        <f>IF(OR(A196="",I196="",F196=""),0,MAX(0,ROUND((F196-I196)*1440,0)))</f>
      </c>
      <c r="P196" s="12">
        <f>IF(OR(L196="",M196=""),0,MAX(0,ROUND((M196-L196)*24-G196,2)))</f>
      </c>
      <c r="Q196" s="12">
        <f>IF(P196=0,0,MIN(P196,'00_Parametres'!$B$23))</f>
      </c>
      <c r="R196" s="12">
        <f>IF(P196=0,0,MAX(0,P196-'00_Parametres'!$B$23))</f>
      </c>
      <c r="S196" s="10"/>
      <c r="T196" s="10"/>
      <c r="U196" s="10"/>
    </row>
    <row r="197" spans="1:21" x14ac:dyDescent="0.25">
      <c r="A197" s="18"/>
      <c r="B197" s="18"/>
      <c r="C197" s="9">
        <f>IF(B197="","",IFERROR(VLOOKUP(B197,'01_Employes'!$A$6:$Q$30,4,FALSE),"⚠ ID inconnu"))</f>
      </c>
      <c r="D197" s="9">
        <f>IF(A197="","",TEXT(A197,"dddd"))</f>
      </c>
      <c r="E197" s="24">
        <f>IF(A197="","",IFERROR(INDEX('00_Parametres'!$C$7:$C$13,WEEKDAY(A197,2)),""))</f>
      </c>
      <c r="F197" s="24">
        <f>IF(A197="","",IFERROR(INDEX('00_Parametres'!$D$7:$D$13,WEEKDAY(A197,2)),""))</f>
      </c>
      <c r="G197" s="24">
        <f>IF(A197="","",IFERROR(INDEX('00_Parametres'!$E$7:$E$13,WEEKDAY(A197,2)),0))</f>
      </c>
      <c r="H197" s="11"/>
      <c r="I197" s="11"/>
      <c r="J197" s="11"/>
      <c r="K197" s="11"/>
      <c r="L197" s="12">
        <f>IF(OR(A197="",H197=""),"",IF(H197&lt;E197,IF(OR(J197="Oui",'00_Parametres'!$B$28="Oui"),H197,E197),H197))</f>
      </c>
      <c r="M197" s="12">
        <f>IF(OR(A197="",I197=""),"",IF(I197&gt;F197,IF(OR(K197="Oui",'00_Parametres'!$B$29="Oui"),I197,F197),I197))</f>
      </c>
      <c r="N197" s="25">
        <f>IF(OR(A197="",H197="",E197=""),0,MAX(0,ROUND((H197-E197)*1440,0)))</f>
      </c>
      <c r="O197" s="25">
        <f>IF(OR(A197="",I197="",F197=""),0,MAX(0,ROUND((F197-I197)*1440,0)))</f>
      </c>
      <c r="P197" s="12">
        <f>IF(OR(L197="",M197=""),0,MAX(0,ROUND((M197-L197)*24-G197,2)))</f>
      </c>
      <c r="Q197" s="12">
        <f>IF(P197=0,0,MIN(P197,'00_Parametres'!$B$23))</f>
      </c>
      <c r="R197" s="12">
        <f>IF(P197=0,0,MAX(0,P197-'00_Parametres'!$B$23))</f>
      </c>
      <c r="S197" s="10"/>
      <c r="T197" s="10"/>
      <c r="U197" s="10"/>
    </row>
    <row r="198" spans="1:21" x14ac:dyDescent="0.25">
      <c r="A198" s="18"/>
      <c r="B198" s="18"/>
      <c r="C198" s="9">
        <f>IF(B198="","",IFERROR(VLOOKUP(B198,'01_Employes'!$A$6:$Q$30,4,FALSE),"⚠ ID inconnu"))</f>
      </c>
      <c r="D198" s="9">
        <f>IF(A198="","",TEXT(A198,"dddd"))</f>
      </c>
      <c r="E198" s="24">
        <f>IF(A198="","",IFERROR(INDEX('00_Parametres'!$C$7:$C$13,WEEKDAY(A198,2)),""))</f>
      </c>
      <c r="F198" s="24">
        <f>IF(A198="","",IFERROR(INDEX('00_Parametres'!$D$7:$D$13,WEEKDAY(A198,2)),""))</f>
      </c>
      <c r="G198" s="24">
        <f>IF(A198="","",IFERROR(INDEX('00_Parametres'!$E$7:$E$13,WEEKDAY(A198,2)),0))</f>
      </c>
      <c r="H198" s="11"/>
      <c r="I198" s="11"/>
      <c r="J198" s="11"/>
      <c r="K198" s="11"/>
      <c r="L198" s="12">
        <f>IF(OR(A198="",H198=""),"",IF(H198&lt;E198,IF(OR(J198="Oui",'00_Parametres'!$B$28="Oui"),H198,E198),H198))</f>
      </c>
      <c r="M198" s="12">
        <f>IF(OR(A198="",I198=""),"",IF(I198&gt;F198,IF(OR(K198="Oui",'00_Parametres'!$B$29="Oui"),I198,F198),I198))</f>
      </c>
      <c r="N198" s="25">
        <f>IF(OR(A198="",H198="",E198=""),0,MAX(0,ROUND((H198-E198)*1440,0)))</f>
      </c>
      <c r="O198" s="25">
        <f>IF(OR(A198="",I198="",F198=""),0,MAX(0,ROUND((F198-I198)*1440,0)))</f>
      </c>
      <c r="P198" s="12">
        <f>IF(OR(L198="",M198=""),0,MAX(0,ROUND((M198-L198)*24-G198,2)))</f>
      </c>
      <c r="Q198" s="12">
        <f>IF(P198=0,0,MIN(P198,'00_Parametres'!$B$23))</f>
      </c>
      <c r="R198" s="12">
        <f>IF(P198=0,0,MAX(0,P198-'00_Parametres'!$B$23))</f>
      </c>
      <c r="S198" s="10"/>
      <c r="T198" s="10"/>
      <c r="U198" s="10"/>
    </row>
    <row r="199" spans="1:21" x14ac:dyDescent="0.25">
      <c r="A199" s="18"/>
      <c r="B199" s="18"/>
      <c r="C199" s="9">
        <f>IF(B199="","",IFERROR(VLOOKUP(B199,'01_Employes'!$A$6:$Q$30,4,FALSE),"⚠ ID inconnu"))</f>
      </c>
      <c r="D199" s="9">
        <f>IF(A199="","",TEXT(A199,"dddd"))</f>
      </c>
      <c r="E199" s="24">
        <f>IF(A199="","",IFERROR(INDEX('00_Parametres'!$C$7:$C$13,WEEKDAY(A199,2)),""))</f>
      </c>
      <c r="F199" s="24">
        <f>IF(A199="","",IFERROR(INDEX('00_Parametres'!$D$7:$D$13,WEEKDAY(A199,2)),""))</f>
      </c>
      <c r="G199" s="24">
        <f>IF(A199="","",IFERROR(INDEX('00_Parametres'!$E$7:$E$13,WEEKDAY(A199,2)),0))</f>
      </c>
      <c r="H199" s="11"/>
      <c r="I199" s="11"/>
      <c r="J199" s="11"/>
      <c r="K199" s="11"/>
      <c r="L199" s="12">
        <f>IF(OR(A199="",H199=""),"",IF(H199&lt;E199,IF(OR(J199="Oui",'00_Parametres'!$B$28="Oui"),H199,E199),H199))</f>
      </c>
      <c r="M199" s="12">
        <f>IF(OR(A199="",I199=""),"",IF(I199&gt;F199,IF(OR(K199="Oui",'00_Parametres'!$B$29="Oui"),I199,F199),I199))</f>
      </c>
      <c r="N199" s="25">
        <f>IF(OR(A199="",H199="",E199=""),0,MAX(0,ROUND((H199-E199)*1440,0)))</f>
      </c>
      <c r="O199" s="25">
        <f>IF(OR(A199="",I199="",F199=""),0,MAX(0,ROUND((F199-I199)*1440,0)))</f>
      </c>
      <c r="P199" s="12">
        <f>IF(OR(L199="",M199=""),0,MAX(0,ROUND((M199-L199)*24-G199,2)))</f>
      </c>
      <c r="Q199" s="12">
        <f>IF(P199=0,0,MIN(P199,'00_Parametres'!$B$23))</f>
      </c>
      <c r="R199" s="12">
        <f>IF(P199=0,0,MAX(0,P199-'00_Parametres'!$B$23))</f>
      </c>
      <c r="S199" s="10"/>
      <c r="T199" s="10"/>
      <c r="U199" s="10"/>
    </row>
    <row r="200" spans="1:21" x14ac:dyDescent="0.25">
      <c r="A200" s="18"/>
      <c r="B200" s="18"/>
      <c r="C200" s="9">
        <f>IF(B200="","",IFERROR(VLOOKUP(B200,'01_Employes'!$A$6:$Q$30,4,FALSE),"⚠ ID inconnu"))</f>
      </c>
      <c r="D200" s="9">
        <f>IF(A200="","",TEXT(A200,"dddd"))</f>
      </c>
      <c r="E200" s="24">
        <f>IF(A200="","",IFERROR(INDEX('00_Parametres'!$C$7:$C$13,WEEKDAY(A200,2)),""))</f>
      </c>
      <c r="F200" s="24">
        <f>IF(A200="","",IFERROR(INDEX('00_Parametres'!$D$7:$D$13,WEEKDAY(A200,2)),""))</f>
      </c>
      <c r="G200" s="24">
        <f>IF(A200="","",IFERROR(INDEX('00_Parametres'!$E$7:$E$13,WEEKDAY(A200,2)),0))</f>
      </c>
      <c r="H200" s="11"/>
      <c r="I200" s="11"/>
      <c r="J200" s="11"/>
      <c r="K200" s="11"/>
      <c r="L200" s="12">
        <f>IF(OR(A200="",H200=""),"",IF(H200&lt;E200,IF(OR(J200="Oui",'00_Parametres'!$B$28="Oui"),H200,E200),H200))</f>
      </c>
      <c r="M200" s="12">
        <f>IF(OR(A200="",I200=""),"",IF(I200&gt;F200,IF(OR(K200="Oui",'00_Parametres'!$B$29="Oui"),I200,F200),I200))</f>
      </c>
      <c r="N200" s="25">
        <f>IF(OR(A200="",H200="",E200=""),0,MAX(0,ROUND((H200-E200)*1440,0)))</f>
      </c>
      <c r="O200" s="25">
        <f>IF(OR(A200="",I200="",F200=""),0,MAX(0,ROUND((F200-I200)*1440,0)))</f>
      </c>
      <c r="P200" s="12">
        <f>IF(OR(L200="",M200=""),0,MAX(0,ROUND((M200-L200)*24-G200,2)))</f>
      </c>
      <c r="Q200" s="12">
        <f>IF(P200=0,0,MIN(P200,'00_Parametres'!$B$23))</f>
      </c>
      <c r="R200" s="12">
        <f>IF(P200=0,0,MAX(0,P200-'00_Parametres'!$B$23))</f>
      </c>
      <c r="S200" s="10"/>
      <c r="T200" s="10"/>
      <c r="U200" s="10"/>
    </row>
    <row r="201" spans="1:21" x14ac:dyDescent="0.25">
      <c r="A201" s="18"/>
      <c r="B201" s="18"/>
      <c r="C201" s="9">
        <f>IF(B201="","",IFERROR(VLOOKUP(B201,'01_Employes'!$A$6:$Q$30,4,FALSE),"⚠ ID inconnu"))</f>
      </c>
      <c r="D201" s="9">
        <f>IF(A201="","",TEXT(A201,"dddd"))</f>
      </c>
      <c r="E201" s="24">
        <f>IF(A201="","",IFERROR(INDEX('00_Parametres'!$C$7:$C$13,WEEKDAY(A201,2)),""))</f>
      </c>
      <c r="F201" s="24">
        <f>IF(A201="","",IFERROR(INDEX('00_Parametres'!$D$7:$D$13,WEEKDAY(A201,2)),""))</f>
      </c>
      <c r="G201" s="24">
        <f>IF(A201="","",IFERROR(INDEX('00_Parametres'!$E$7:$E$13,WEEKDAY(A201,2)),0))</f>
      </c>
      <c r="H201" s="11"/>
      <c r="I201" s="11"/>
      <c r="J201" s="11"/>
      <c r="K201" s="11"/>
      <c r="L201" s="12">
        <f>IF(OR(A201="",H201=""),"",IF(H201&lt;E201,IF(OR(J201="Oui",'00_Parametres'!$B$28="Oui"),H201,E201),H201))</f>
      </c>
      <c r="M201" s="12">
        <f>IF(OR(A201="",I201=""),"",IF(I201&gt;F201,IF(OR(K201="Oui",'00_Parametres'!$B$29="Oui"),I201,F201),I201))</f>
      </c>
      <c r="N201" s="25">
        <f>IF(OR(A201="",H201="",E201=""),0,MAX(0,ROUND((H201-E201)*1440,0)))</f>
      </c>
      <c r="O201" s="25">
        <f>IF(OR(A201="",I201="",F201=""),0,MAX(0,ROUND((F201-I201)*1440,0)))</f>
      </c>
      <c r="P201" s="12">
        <f>IF(OR(L201="",M201=""),0,MAX(0,ROUND((M201-L201)*24-G201,2)))</f>
      </c>
      <c r="Q201" s="12">
        <f>IF(P201=0,0,MIN(P201,'00_Parametres'!$B$23))</f>
      </c>
      <c r="R201" s="12">
        <f>IF(P201=0,0,MAX(0,P201-'00_Parametres'!$B$23))</f>
      </c>
      <c r="S201" s="10"/>
      <c r="T201" s="10"/>
      <c r="U201" s="10"/>
    </row>
    <row r="202" spans="1:21" x14ac:dyDescent="0.25">
      <c r="A202" s="18"/>
      <c r="B202" s="18"/>
      <c r="C202" s="9">
        <f>IF(B202="","",IFERROR(VLOOKUP(B202,'01_Employes'!$A$6:$Q$30,4,FALSE),"⚠ ID inconnu"))</f>
      </c>
      <c r="D202" s="9">
        <f>IF(A202="","",TEXT(A202,"dddd"))</f>
      </c>
      <c r="E202" s="24">
        <f>IF(A202="","",IFERROR(INDEX('00_Parametres'!$C$7:$C$13,WEEKDAY(A202,2)),""))</f>
      </c>
      <c r="F202" s="24">
        <f>IF(A202="","",IFERROR(INDEX('00_Parametres'!$D$7:$D$13,WEEKDAY(A202,2)),""))</f>
      </c>
      <c r="G202" s="24">
        <f>IF(A202="","",IFERROR(INDEX('00_Parametres'!$E$7:$E$13,WEEKDAY(A202,2)),0))</f>
      </c>
      <c r="H202" s="11"/>
      <c r="I202" s="11"/>
      <c r="J202" s="11"/>
      <c r="K202" s="11"/>
      <c r="L202" s="12">
        <f>IF(OR(A202="",H202=""),"",IF(H202&lt;E202,IF(OR(J202="Oui",'00_Parametres'!$B$28="Oui"),H202,E202),H202))</f>
      </c>
      <c r="M202" s="12">
        <f>IF(OR(A202="",I202=""),"",IF(I202&gt;F202,IF(OR(K202="Oui",'00_Parametres'!$B$29="Oui"),I202,F202),I202))</f>
      </c>
      <c r="N202" s="25">
        <f>IF(OR(A202="",H202="",E202=""),0,MAX(0,ROUND((H202-E202)*1440,0)))</f>
      </c>
      <c r="O202" s="25">
        <f>IF(OR(A202="",I202="",F202=""),0,MAX(0,ROUND((F202-I202)*1440,0)))</f>
      </c>
      <c r="P202" s="12">
        <f>IF(OR(L202="",M202=""),0,MAX(0,ROUND((M202-L202)*24-G202,2)))</f>
      </c>
      <c r="Q202" s="12">
        <f>IF(P202=0,0,MIN(P202,'00_Parametres'!$B$23))</f>
      </c>
      <c r="R202" s="12">
        <f>IF(P202=0,0,MAX(0,P202-'00_Parametres'!$B$23))</f>
      </c>
      <c r="S202" s="10"/>
      <c r="T202" s="10"/>
      <c r="U202" s="10"/>
    </row>
    <row r="203" spans="1:21" x14ac:dyDescent="0.25">
      <c r="A203" s="18"/>
      <c r="B203" s="18"/>
      <c r="C203" s="9">
        <f>IF(B203="","",IFERROR(VLOOKUP(B203,'01_Employes'!$A$6:$Q$30,4,FALSE),"⚠ ID inconnu"))</f>
      </c>
      <c r="D203" s="9">
        <f>IF(A203="","",TEXT(A203,"dddd"))</f>
      </c>
      <c r="E203" s="24">
        <f>IF(A203="","",IFERROR(INDEX('00_Parametres'!$C$7:$C$13,WEEKDAY(A203,2)),""))</f>
      </c>
      <c r="F203" s="24">
        <f>IF(A203="","",IFERROR(INDEX('00_Parametres'!$D$7:$D$13,WEEKDAY(A203,2)),""))</f>
      </c>
      <c r="G203" s="24">
        <f>IF(A203="","",IFERROR(INDEX('00_Parametres'!$E$7:$E$13,WEEKDAY(A203,2)),0))</f>
      </c>
      <c r="H203" s="11"/>
      <c r="I203" s="11"/>
      <c r="J203" s="11"/>
      <c r="K203" s="11"/>
      <c r="L203" s="12">
        <f>IF(OR(A203="",H203=""),"",IF(H203&lt;E203,IF(OR(J203="Oui",'00_Parametres'!$B$28="Oui"),H203,E203),H203))</f>
      </c>
      <c r="M203" s="12">
        <f>IF(OR(A203="",I203=""),"",IF(I203&gt;F203,IF(OR(K203="Oui",'00_Parametres'!$B$29="Oui"),I203,F203),I203))</f>
      </c>
      <c r="N203" s="25">
        <f>IF(OR(A203="",H203="",E203=""),0,MAX(0,ROUND((H203-E203)*1440,0)))</f>
      </c>
      <c r="O203" s="25">
        <f>IF(OR(A203="",I203="",F203=""),0,MAX(0,ROUND((F203-I203)*1440,0)))</f>
      </c>
      <c r="P203" s="12">
        <f>IF(OR(L203="",M203=""),0,MAX(0,ROUND((M203-L203)*24-G203,2)))</f>
      </c>
      <c r="Q203" s="12">
        <f>IF(P203=0,0,MIN(P203,'00_Parametres'!$B$23))</f>
      </c>
      <c r="R203" s="12">
        <f>IF(P203=0,0,MAX(0,P203-'00_Parametres'!$B$23))</f>
      </c>
      <c r="S203" s="10"/>
      <c r="T203" s="10"/>
      <c r="U203" s="10"/>
    </row>
    <row r="204" spans="1:21" x14ac:dyDescent="0.25">
      <c r="A204" s="18"/>
      <c r="B204" s="18"/>
      <c r="C204" s="9">
        <f>IF(B204="","",IFERROR(VLOOKUP(B204,'01_Employes'!$A$6:$Q$30,4,FALSE),"⚠ ID inconnu"))</f>
      </c>
      <c r="D204" s="9">
        <f>IF(A204="","",TEXT(A204,"dddd"))</f>
      </c>
      <c r="E204" s="24">
        <f>IF(A204="","",IFERROR(INDEX('00_Parametres'!$C$7:$C$13,WEEKDAY(A204,2)),""))</f>
      </c>
      <c r="F204" s="24">
        <f>IF(A204="","",IFERROR(INDEX('00_Parametres'!$D$7:$D$13,WEEKDAY(A204,2)),""))</f>
      </c>
      <c r="G204" s="24">
        <f>IF(A204="","",IFERROR(INDEX('00_Parametres'!$E$7:$E$13,WEEKDAY(A204,2)),0))</f>
      </c>
      <c r="H204" s="11"/>
      <c r="I204" s="11"/>
      <c r="J204" s="11"/>
      <c r="K204" s="11"/>
      <c r="L204" s="12">
        <f>IF(OR(A204="",H204=""),"",IF(H204&lt;E204,IF(OR(J204="Oui",'00_Parametres'!$B$28="Oui"),H204,E204),H204))</f>
      </c>
      <c r="M204" s="12">
        <f>IF(OR(A204="",I204=""),"",IF(I204&gt;F204,IF(OR(K204="Oui",'00_Parametres'!$B$29="Oui"),I204,F204),I204))</f>
      </c>
      <c r="N204" s="25">
        <f>IF(OR(A204="",H204="",E204=""),0,MAX(0,ROUND((H204-E204)*1440,0)))</f>
      </c>
      <c r="O204" s="25">
        <f>IF(OR(A204="",I204="",F204=""),0,MAX(0,ROUND((F204-I204)*1440,0)))</f>
      </c>
      <c r="P204" s="12">
        <f>IF(OR(L204="",M204=""),0,MAX(0,ROUND((M204-L204)*24-G204,2)))</f>
      </c>
      <c r="Q204" s="12">
        <f>IF(P204=0,0,MIN(P204,'00_Parametres'!$B$23))</f>
      </c>
      <c r="R204" s="12">
        <f>IF(P204=0,0,MAX(0,P204-'00_Parametres'!$B$23))</f>
      </c>
      <c r="S204" s="10"/>
      <c r="T204" s="10"/>
      <c r="U204" s="10"/>
    </row>
    <row r="205" spans="1:21" x14ac:dyDescent="0.25">
      <c r="A205" s="18"/>
      <c r="B205" s="18"/>
      <c r="C205" s="9">
        <f>IF(B205="","",IFERROR(VLOOKUP(B205,'01_Employes'!$A$6:$Q$30,4,FALSE),"⚠ ID inconnu"))</f>
      </c>
      <c r="D205" s="9">
        <f>IF(A205="","",TEXT(A205,"dddd"))</f>
      </c>
      <c r="E205" s="24">
        <f>IF(A205="","",IFERROR(INDEX('00_Parametres'!$C$7:$C$13,WEEKDAY(A205,2)),""))</f>
      </c>
      <c r="F205" s="24">
        <f>IF(A205="","",IFERROR(INDEX('00_Parametres'!$D$7:$D$13,WEEKDAY(A205,2)),""))</f>
      </c>
      <c r="G205" s="24">
        <f>IF(A205="","",IFERROR(INDEX('00_Parametres'!$E$7:$E$13,WEEKDAY(A205,2)),0))</f>
      </c>
      <c r="H205" s="11"/>
      <c r="I205" s="11"/>
      <c r="J205" s="11"/>
      <c r="K205" s="11"/>
      <c r="L205" s="12">
        <f>IF(OR(A205="",H205=""),"",IF(H205&lt;E205,IF(OR(J205="Oui",'00_Parametres'!$B$28="Oui"),H205,E205),H205))</f>
      </c>
      <c r="M205" s="12">
        <f>IF(OR(A205="",I205=""),"",IF(I205&gt;F205,IF(OR(K205="Oui",'00_Parametres'!$B$29="Oui"),I205,F205),I205))</f>
      </c>
      <c r="N205" s="25">
        <f>IF(OR(A205="",H205="",E205=""),0,MAX(0,ROUND((H205-E205)*1440,0)))</f>
      </c>
      <c r="O205" s="25">
        <f>IF(OR(A205="",I205="",F205=""),0,MAX(0,ROUND((F205-I205)*1440,0)))</f>
      </c>
      <c r="P205" s="12">
        <f>IF(OR(L205="",M205=""),0,MAX(0,ROUND((M205-L205)*24-G205,2)))</f>
      </c>
      <c r="Q205" s="12">
        <f>IF(P205=0,0,MIN(P205,'00_Parametres'!$B$23))</f>
      </c>
      <c r="R205" s="12">
        <f>IF(P205=0,0,MAX(0,P205-'00_Parametres'!$B$23))</f>
      </c>
      <c r="S205" s="10"/>
      <c r="T205" s="10"/>
      <c r="U205" s="10"/>
    </row>
    <row r="206" spans="1:21" x14ac:dyDescent="0.25">
      <c r="A206" s="18"/>
      <c r="B206" s="18"/>
      <c r="C206" s="9">
        <f>IF(B206="","",IFERROR(VLOOKUP(B206,'01_Employes'!$A$6:$Q$30,4,FALSE),"⚠ ID inconnu"))</f>
      </c>
      <c r="D206" s="9">
        <f>IF(A206="","",TEXT(A206,"dddd"))</f>
      </c>
      <c r="E206" s="24">
        <f>IF(A206="","",IFERROR(INDEX('00_Parametres'!$C$7:$C$13,WEEKDAY(A206,2)),""))</f>
      </c>
      <c r="F206" s="24">
        <f>IF(A206="","",IFERROR(INDEX('00_Parametres'!$D$7:$D$13,WEEKDAY(A206,2)),""))</f>
      </c>
      <c r="G206" s="24">
        <f>IF(A206="","",IFERROR(INDEX('00_Parametres'!$E$7:$E$13,WEEKDAY(A206,2)),0))</f>
      </c>
      <c r="H206" s="11"/>
      <c r="I206" s="11"/>
      <c r="J206" s="11"/>
      <c r="K206" s="11"/>
      <c r="L206" s="12">
        <f>IF(OR(A206="",H206=""),"",IF(H206&lt;E206,IF(OR(J206="Oui",'00_Parametres'!$B$28="Oui"),H206,E206),H206))</f>
      </c>
      <c r="M206" s="12">
        <f>IF(OR(A206="",I206=""),"",IF(I206&gt;F206,IF(OR(K206="Oui",'00_Parametres'!$B$29="Oui"),I206,F206),I206))</f>
      </c>
      <c r="N206" s="25">
        <f>IF(OR(A206="",H206="",E206=""),0,MAX(0,ROUND((H206-E206)*1440,0)))</f>
      </c>
      <c r="O206" s="25">
        <f>IF(OR(A206="",I206="",F206=""),0,MAX(0,ROUND((F206-I206)*1440,0)))</f>
      </c>
      <c r="P206" s="12">
        <f>IF(OR(L206="",M206=""),0,MAX(0,ROUND((M206-L206)*24-G206,2)))</f>
      </c>
      <c r="Q206" s="12">
        <f>IF(P206=0,0,MIN(P206,'00_Parametres'!$B$23))</f>
      </c>
      <c r="R206" s="12">
        <f>IF(P206=0,0,MAX(0,P206-'00_Parametres'!$B$23))</f>
      </c>
      <c r="S206" s="10"/>
      <c r="T206" s="10"/>
      <c r="U206" s="10"/>
    </row>
    <row r="207" spans="1:21" x14ac:dyDescent="0.25">
      <c r="A207" s="18"/>
      <c r="B207" s="18"/>
      <c r="C207" s="9">
        <f>IF(B207="","",IFERROR(VLOOKUP(B207,'01_Employes'!$A$6:$Q$30,4,FALSE),"⚠ ID inconnu"))</f>
      </c>
      <c r="D207" s="9">
        <f>IF(A207="","",TEXT(A207,"dddd"))</f>
      </c>
      <c r="E207" s="24">
        <f>IF(A207="","",IFERROR(INDEX('00_Parametres'!$C$7:$C$13,WEEKDAY(A207,2)),""))</f>
      </c>
      <c r="F207" s="24">
        <f>IF(A207="","",IFERROR(INDEX('00_Parametres'!$D$7:$D$13,WEEKDAY(A207,2)),""))</f>
      </c>
      <c r="G207" s="24">
        <f>IF(A207="","",IFERROR(INDEX('00_Parametres'!$E$7:$E$13,WEEKDAY(A207,2)),0))</f>
      </c>
      <c r="H207" s="11"/>
      <c r="I207" s="11"/>
      <c r="J207" s="11"/>
      <c r="K207" s="11"/>
      <c r="L207" s="12">
        <f>IF(OR(A207="",H207=""),"",IF(H207&lt;E207,IF(OR(J207="Oui",'00_Parametres'!$B$28="Oui"),H207,E207),H207))</f>
      </c>
      <c r="M207" s="12">
        <f>IF(OR(A207="",I207=""),"",IF(I207&gt;F207,IF(OR(K207="Oui",'00_Parametres'!$B$29="Oui"),I207,F207),I207))</f>
      </c>
      <c r="N207" s="25">
        <f>IF(OR(A207="",H207="",E207=""),0,MAX(0,ROUND((H207-E207)*1440,0)))</f>
      </c>
      <c r="O207" s="25">
        <f>IF(OR(A207="",I207="",F207=""),0,MAX(0,ROUND((F207-I207)*1440,0)))</f>
      </c>
      <c r="P207" s="12">
        <f>IF(OR(L207="",M207=""),0,MAX(0,ROUND((M207-L207)*24-G207,2)))</f>
      </c>
      <c r="Q207" s="12">
        <f>IF(P207=0,0,MIN(P207,'00_Parametres'!$B$23))</f>
      </c>
      <c r="R207" s="12">
        <f>IF(P207=0,0,MAX(0,P207-'00_Parametres'!$B$23))</f>
      </c>
      <c r="S207" s="10"/>
      <c r="T207" s="10"/>
      <c r="U207" s="10"/>
    </row>
    <row r="208" spans="1:21" x14ac:dyDescent="0.25">
      <c r="A208" s="18"/>
      <c r="B208" s="18"/>
      <c r="C208" s="9">
        <f>IF(B208="","",IFERROR(VLOOKUP(B208,'01_Employes'!$A$6:$Q$30,4,FALSE),"⚠ ID inconnu"))</f>
      </c>
      <c r="D208" s="9">
        <f>IF(A208="","",TEXT(A208,"dddd"))</f>
      </c>
      <c r="E208" s="24">
        <f>IF(A208="","",IFERROR(INDEX('00_Parametres'!$C$7:$C$13,WEEKDAY(A208,2)),""))</f>
      </c>
      <c r="F208" s="24">
        <f>IF(A208="","",IFERROR(INDEX('00_Parametres'!$D$7:$D$13,WEEKDAY(A208,2)),""))</f>
      </c>
      <c r="G208" s="24">
        <f>IF(A208="","",IFERROR(INDEX('00_Parametres'!$E$7:$E$13,WEEKDAY(A208,2)),0))</f>
      </c>
      <c r="H208" s="11"/>
      <c r="I208" s="11"/>
      <c r="J208" s="11"/>
      <c r="K208" s="11"/>
      <c r="L208" s="12">
        <f>IF(OR(A208="",H208=""),"",IF(H208&lt;E208,IF(OR(J208="Oui",'00_Parametres'!$B$28="Oui"),H208,E208),H208))</f>
      </c>
      <c r="M208" s="12">
        <f>IF(OR(A208="",I208=""),"",IF(I208&gt;F208,IF(OR(K208="Oui",'00_Parametres'!$B$29="Oui"),I208,F208),I208))</f>
      </c>
      <c r="N208" s="25">
        <f>IF(OR(A208="",H208="",E208=""),0,MAX(0,ROUND((H208-E208)*1440,0)))</f>
      </c>
      <c r="O208" s="25">
        <f>IF(OR(A208="",I208="",F208=""),0,MAX(0,ROUND((F208-I208)*1440,0)))</f>
      </c>
      <c r="P208" s="12">
        <f>IF(OR(L208="",M208=""),0,MAX(0,ROUND((M208-L208)*24-G208,2)))</f>
      </c>
      <c r="Q208" s="12">
        <f>IF(P208=0,0,MIN(P208,'00_Parametres'!$B$23))</f>
      </c>
      <c r="R208" s="12">
        <f>IF(P208=0,0,MAX(0,P208-'00_Parametres'!$B$23))</f>
      </c>
      <c r="S208" s="10"/>
      <c r="T208" s="10"/>
      <c r="U208" s="10"/>
    </row>
    <row r="209" spans="1:21" x14ac:dyDescent="0.25">
      <c r="A209" s="18"/>
      <c r="B209" s="18"/>
      <c r="C209" s="9">
        <f>IF(B209="","",IFERROR(VLOOKUP(B209,'01_Employes'!$A$6:$Q$30,4,FALSE),"⚠ ID inconnu"))</f>
      </c>
      <c r="D209" s="9">
        <f>IF(A209="","",TEXT(A209,"dddd"))</f>
      </c>
      <c r="E209" s="24">
        <f>IF(A209="","",IFERROR(INDEX('00_Parametres'!$C$7:$C$13,WEEKDAY(A209,2)),""))</f>
      </c>
      <c r="F209" s="24">
        <f>IF(A209="","",IFERROR(INDEX('00_Parametres'!$D$7:$D$13,WEEKDAY(A209,2)),""))</f>
      </c>
      <c r="G209" s="24">
        <f>IF(A209="","",IFERROR(INDEX('00_Parametres'!$E$7:$E$13,WEEKDAY(A209,2)),0))</f>
      </c>
      <c r="H209" s="11"/>
      <c r="I209" s="11"/>
      <c r="J209" s="11"/>
      <c r="K209" s="11"/>
      <c r="L209" s="12">
        <f>IF(OR(A209="",H209=""),"",IF(H209&lt;E209,IF(OR(J209="Oui",'00_Parametres'!$B$28="Oui"),H209,E209),H209))</f>
      </c>
      <c r="M209" s="12">
        <f>IF(OR(A209="",I209=""),"",IF(I209&gt;F209,IF(OR(K209="Oui",'00_Parametres'!$B$29="Oui"),I209,F209),I209))</f>
      </c>
      <c r="N209" s="25">
        <f>IF(OR(A209="",H209="",E209=""),0,MAX(0,ROUND((H209-E209)*1440,0)))</f>
      </c>
      <c r="O209" s="25">
        <f>IF(OR(A209="",I209="",F209=""),0,MAX(0,ROUND((F209-I209)*1440,0)))</f>
      </c>
      <c r="P209" s="12">
        <f>IF(OR(L209="",M209=""),0,MAX(0,ROUND((M209-L209)*24-G209,2)))</f>
      </c>
      <c r="Q209" s="12">
        <f>IF(P209=0,0,MIN(P209,'00_Parametres'!$B$23))</f>
      </c>
      <c r="R209" s="12">
        <f>IF(P209=0,0,MAX(0,P209-'00_Parametres'!$B$23))</f>
      </c>
      <c r="S209" s="10"/>
      <c r="T209" s="10"/>
      <c r="U209" s="10"/>
    </row>
    <row r="210" spans="1:21" x14ac:dyDescent="0.25">
      <c r="A210" s="18"/>
      <c r="B210" s="18"/>
      <c r="C210" s="9">
        <f>IF(B210="","",IFERROR(VLOOKUP(B210,'01_Employes'!$A$6:$Q$30,4,FALSE),"⚠ ID inconnu"))</f>
      </c>
      <c r="D210" s="9">
        <f>IF(A210="","",TEXT(A210,"dddd"))</f>
      </c>
      <c r="E210" s="24">
        <f>IF(A210="","",IFERROR(INDEX('00_Parametres'!$C$7:$C$13,WEEKDAY(A210,2)),""))</f>
      </c>
      <c r="F210" s="24">
        <f>IF(A210="","",IFERROR(INDEX('00_Parametres'!$D$7:$D$13,WEEKDAY(A210,2)),""))</f>
      </c>
      <c r="G210" s="24">
        <f>IF(A210="","",IFERROR(INDEX('00_Parametres'!$E$7:$E$13,WEEKDAY(A210,2)),0))</f>
      </c>
      <c r="H210" s="11"/>
      <c r="I210" s="11"/>
      <c r="J210" s="11"/>
      <c r="K210" s="11"/>
      <c r="L210" s="12">
        <f>IF(OR(A210="",H210=""),"",IF(H210&lt;E210,IF(OR(J210="Oui",'00_Parametres'!$B$28="Oui"),H210,E210),H210))</f>
      </c>
      <c r="M210" s="12">
        <f>IF(OR(A210="",I210=""),"",IF(I210&gt;F210,IF(OR(K210="Oui",'00_Parametres'!$B$29="Oui"),I210,F210),I210))</f>
      </c>
      <c r="N210" s="25">
        <f>IF(OR(A210="",H210="",E210=""),0,MAX(0,ROUND((H210-E210)*1440,0)))</f>
      </c>
      <c r="O210" s="25">
        <f>IF(OR(A210="",I210="",F210=""),0,MAX(0,ROUND((F210-I210)*1440,0)))</f>
      </c>
      <c r="P210" s="12">
        <f>IF(OR(L210="",M210=""),0,MAX(0,ROUND((M210-L210)*24-G210,2)))</f>
      </c>
      <c r="Q210" s="12">
        <f>IF(P210=0,0,MIN(P210,'00_Parametres'!$B$23))</f>
      </c>
      <c r="R210" s="12">
        <f>IF(P210=0,0,MAX(0,P210-'00_Parametres'!$B$23))</f>
      </c>
      <c r="S210" s="10"/>
      <c r="T210" s="10"/>
      <c r="U210" s="10"/>
    </row>
    <row r="211" spans="1:21" x14ac:dyDescent="0.25">
      <c r="A211" s="18"/>
      <c r="B211" s="18"/>
      <c r="C211" s="9">
        <f>IF(B211="","",IFERROR(VLOOKUP(B211,'01_Employes'!$A$6:$Q$30,4,FALSE),"⚠ ID inconnu"))</f>
      </c>
      <c r="D211" s="9">
        <f>IF(A211="","",TEXT(A211,"dddd"))</f>
      </c>
      <c r="E211" s="24">
        <f>IF(A211="","",IFERROR(INDEX('00_Parametres'!$C$7:$C$13,WEEKDAY(A211,2)),""))</f>
      </c>
      <c r="F211" s="24">
        <f>IF(A211="","",IFERROR(INDEX('00_Parametres'!$D$7:$D$13,WEEKDAY(A211,2)),""))</f>
      </c>
      <c r="G211" s="24">
        <f>IF(A211="","",IFERROR(INDEX('00_Parametres'!$E$7:$E$13,WEEKDAY(A211,2)),0))</f>
      </c>
      <c r="H211" s="11"/>
      <c r="I211" s="11"/>
      <c r="J211" s="11"/>
      <c r="K211" s="11"/>
      <c r="L211" s="12">
        <f>IF(OR(A211="",H211=""),"",IF(H211&lt;E211,IF(OR(J211="Oui",'00_Parametres'!$B$28="Oui"),H211,E211),H211))</f>
      </c>
      <c r="M211" s="12">
        <f>IF(OR(A211="",I211=""),"",IF(I211&gt;F211,IF(OR(K211="Oui",'00_Parametres'!$B$29="Oui"),I211,F211),I211))</f>
      </c>
      <c r="N211" s="25">
        <f>IF(OR(A211="",H211="",E211=""),0,MAX(0,ROUND((H211-E211)*1440,0)))</f>
      </c>
      <c r="O211" s="25">
        <f>IF(OR(A211="",I211="",F211=""),0,MAX(0,ROUND((F211-I211)*1440,0)))</f>
      </c>
      <c r="P211" s="12">
        <f>IF(OR(L211="",M211=""),0,MAX(0,ROUND((M211-L211)*24-G211,2)))</f>
      </c>
      <c r="Q211" s="12">
        <f>IF(P211=0,0,MIN(P211,'00_Parametres'!$B$23))</f>
      </c>
      <c r="R211" s="12">
        <f>IF(P211=0,0,MAX(0,P211-'00_Parametres'!$B$23))</f>
      </c>
      <c r="S211" s="10"/>
      <c r="T211" s="10"/>
      <c r="U211" s="10"/>
    </row>
    <row r="212" spans="1:21" x14ac:dyDescent="0.25">
      <c r="A212" s="18"/>
      <c r="B212" s="18"/>
      <c r="C212" s="9">
        <f>IF(B212="","",IFERROR(VLOOKUP(B212,'01_Employes'!$A$6:$Q$30,4,FALSE),"⚠ ID inconnu"))</f>
      </c>
      <c r="D212" s="9">
        <f>IF(A212="","",TEXT(A212,"dddd"))</f>
      </c>
      <c r="E212" s="24">
        <f>IF(A212="","",IFERROR(INDEX('00_Parametres'!$C$7:$C$13,WEEKDAY(A212,2)),""))</f>
      </c>
      <c r="F212" s="24">
        <f>IF(A212="","",IFERROR(INDEX('00_Parametres'!$D$7:$D$13,WEEKDAY(A212,2)),""))</f>
      </c>
      <c r="G212" s="24">
        <f>IF(A212="","",IFERROR(INDEX('00_Parametres'!$E$7:$E$13,WEEKDAY(A212,2)),0))</f>
      </c>
      <c r="H212" s="11"/>
      <c r="I212" s="11"/>
      <c r="J212" s="11"/>
      <c r="K212" s="11"/>
      <c r="L212" s="12">
        <f>IF(OR(A212="",H212=""),"",IF(H212&lt;E212,IF(OR(J212="Oui",'00_Parametres'!$B$28="Oui"),H212,E212),H212))</f>
      </c>
      <c r="M212" s="12">
        <f>IF(OR(A212="",I212=""),"",IF(I212&gt;F212,IF(OR(K212="Oui",'00_Parametres'!$B$29="Oui"),I212,F212),I212))</f>
      </c>
      <c r="N212" s="25">
        <f>IF(OR(A212="",H212="",E212=""),0,MAX(0,ROUND((H212-E212)*1440,0)))</f>
      </c>
      <c r="O212" s="25">
        <f>IF(OR(A212="",I212="",F212=""),0,MAX(0,ROUND((F212-I212)*1440,0)))</f>
      </c>
      <c r="P212" s="12">
        <f>IF(OR(L212="",M212=""),0,MAX(0,ROUND((M212-L212)*24-G212,2)))</f>
      </c>
      <c r="Q212" s="12">
        <f>IF(P212=0,0,MIN(P212,'00_Parametres'!$B$23))</f>
      </c>
      <c r="R212" s="12">
        <f>IF(P212=0,0,MAX(0,P212-'00_Parametres'!$B$23))</f>
      </c>
      <c r="S212" s="10"/>
      <c r="T212" s="10"/>
      <c r="U212" s="10"/>
    </row>
    <row r="213" spans="1:21" x14ac:dyDescent="0.25">
      <c r="A213" s="18"/>
      <c r="B213" s="18"/>
      <c r="C213" s="9">
        <f>IF(B213="","",IFERROR(VLOOKUP(B213,'01_Employes'!$A$6:$Q$30,4,FALSE),"⚠ ID inconnu"))</f>
      </c>
      <c r="D213" s="9">
        <f>IF(A213="","",TEXT(A213,"dddd"))</f>
      </c>
      <c r="E213" s="24">
        <f>IF(A213="","",IFERROR(INDEX('00_Parametres'!$C$7:$C$13,WEEKDAY(A213,2)),""))</f>
      </c>
      <c r="F213" s="24">
        <f>IF(A213="","",IFERROR(INDEX('00_Parametres'!$D$7:$D$13,WEEKDAY(A213,2)),""))</f>
      </c>
      <c r="G213" s="24">
        <f>IF(A213="","",IFERROR(INDEX('00_Parametres'!$E$7:$E$13,WEEKDAY(A213,2)),0))</f>
      </c>
      <c r="H213" s="11"/>
      <c r="I213" s="11"/>
      <c r="J213" s="11"/>
      <c r="K213" s="11"/>
      <c r="L213" s="12">
        <f>IF(OR(A213="",H213=""),"",IF(H213&lt;E213,IF(OR(J213="Oui",'00_Parametres'!$B$28="Oui"),H213,E213),H213))</f>
      </c>
      <c r="M213" s="12">
        <f>IF(OR(A213="",I213=""),"",IF(I213&gt;F213,IF(OR(K213="Oui",'00_Parametres'!$B$29="Oui"),I213,F213),I213))</f>
      </c>
      <c r="N213" s="25">
        <f>IF(OR(A213="",H213="",E213=""),0,MAX(0,ROUND((H213-E213)*1440,0)))</f>
      </c>
      <c r="O213" s="25">
        <f>IF(OR(A213="",I213="",F213=""),0,MAX(0,ROUND((F213-I213)*1440,0)))</f>
      </c>
      <c r="P213" s="12">
        <f>IF(OR(L213="",M213=""),0,MAX(0,ROUND((M213-L213)*24-G213,2)))</f>
      </c>
      <c r="Q213" s="12">
        <f>IF(P213=0,0,MIN(P213,'00_Parametres'!$B$23))</f>
      </c>
      <c r="R213" s="12">
        <f>IF(P213=0,0,MAX(0,P213-'00_Parametres'!$B$23))</f>
      </c>
      <c r="S213" s="10"/>
      <c r="T213" s="10"/>
      <c r="U213" s="10"/>
    </row>
    <row r="214" spans="1:21" x14ac:dyDescent="0.25">
      <c r="A214" s="18"/>
      <c r="B214" s="18"/>
      <c r="C214" s="9">
        <f>IF(B214="","",IFERROR(VLOOKUP(B214,'01_Employes'!$A$6:$Q$30,4,FALSE),"⚠ ID inconnu"))</f>
      </c>
      <c r="D214" s="9">
        <f>IF(A214="","",TEXT(A214,"dddd"))</f>
      </c>
      <c r="E214" s="24">
        <f>IF(A214="","",IFERROR(INDEX('00_Parametres'!$C$7:$C$13,WEEKDAY(A214,2)),""))</f>
      </c>
      <c r="F214" s="24">
        <f>IF(A214="","",IFERROR(INDEX('00_Parametres'!$D$7:$D$13,WEEKDAY(A214,2)),""))</f>
      </c>
      <c r="G214" s="24">
        <f>IF(A214="","",IFERROR(INDEX('00_Parametres'!$E$7:$E$13,WEEKDAY(A214,2)),0))</f>
      </c>
      <c r="H214" s="11"/>
      <c r="I214" s="11"/>
      <c r="J214" s="11"/>
      <c r="K214" s="11"/>
      <c r="L214" s="12">
        <f>IF(OR(A214="",H214=""),"",IF(H214&lt;E214,IF(OR(J214="Oui",'00_Parametres'!$B$28="Oui"),H214,E214),H214))</f>
      </c>
      <c r="M214" s="12">
        <f>IF(OR(A214="",I214=""),"",IF(I214&gt;F214,IF(OR(K214="Oui",'00_Parametres'!$B$29="Oui"),I214,F214),I214))</f>
      </c>
      <c r="N214" s="25">
        <f>IF(OR(A214="",H214="",E214=""),0,MAX(0,ROUND((H214-E214)*1440,0)))</f>
      </c>
      <c r="O214" s="25">
        <f>IF(OR(A214="",I214="",F214=""),0,MAX(0,ROUND((F214-I214)*1440,0)))</f>
      </c>
      <c r="P214" s="12">
        <f>IF(OR(L214="",M214=""),0,MAX(0,ROUND((M214-L214)*24-G214,2)))</f>
      </c>
      <c r="Q214" s="12">
        <f>IF(P214=0,0,MIN(P214,'00_Parametres'!$B$23))</f>
      </c>
      <c r="R214" s="12">
        <f>IF(P214=0,0,MAX(0,P214-'00_Parametres'!$B$23))</f>
      </c>
      <c r="S214" s="10"/>
      <c r="T214" s="10"/>
      <c r="U214" s="10"/>
    </row>
    <row r="215" spans="1:21" x14ac:dyDescent="0.25">
      <c r="A215" s="18"/>
      <c r="B215" s="18"/>
      <c r="C215" s="9">
        <f>IF(B215="","",IFERROR(VLOOKUP(B215,'01_Employes'!$A$6:$Q$30,4,FALSE),"⚠ ID inconnu"))</f>
      </c>
      <c r="D215" s="9">
        <f>IF(A215="","",TEXT(A215,"dddd"))</f>
      </c>
      <c r="E215" s="24">
        <f>IF(A215="","",IFERROR(INDEX('00_Parametres'!$C$7:$C$13,WEEKDAY(A215,2)),""))</f>
      </c>
      <c r="F215" s="24">
        <f>IF(A215="","",IFERROR(INDEX('00_Parametres'!$D$7:$D$13,WEEKDAY(A215,2)),""))</f>
      </c>
      <c r="G215" s="24">
        <f>IF(A215="","",IFERROR(INDEX('00_Parametres'!$E$7:$E$13,WEEKDAY(A215,2)),0))</f>
      </c>
      <c r="H215" s="11"/>
      <c r="I215" s="11"/>
      <c r="J215" s="11"/>
      <c r="K215" s="11"/>
      <c r="L215" s="12">
        <f>IF(OR(A215="",H215=""),"",IF(H215&lt;E215,IF(OR(J215="Oui",'00_Parametres'!$B$28="Oui"),H215,E215),H215))</f>
      </c>
      <c r="M215" s="12">
        <f>IF(OR(A215="",I215=""),"",IF(I215&gt;F215,IF(OR(K215="Oui",'00_Parametres'!$B$29="Oui"),I215,F215),I215))</f>
      </c>
      <c r="N215" s="25">
        <f>IF(OR(A215="",H215="",E215=""),0,MAX(0,ROUND((H215-E215)*1440,0)))</f>
      </c>
      <c r="O215" s="25">
        <f>IF(OR(A215="",I215="",F215=""),0,MAX(0,ROUND((F215-I215)*1440,0)))</f>
      </c>
      <c r="P215" s="12">
        <f>IF(OR(L215="",M215=""),0,MAX(0,ROUND((M215-L215)*24-G215,2)))</f>
      </c>
      <c r="Q215" s="12">
        <f>IF(P215=0,0,MIN(P215,'00_Parametres'!$B$23))</f>
      </c>
      <c r="R215" s="12">
        <f>IF(P215=0,0,MAX(0,P215-'00_Parametres'!$B$23))</f>
      </c>
      <c r="S215" s="10"/>
      <c r="T215" s="10"/>
      <c r="U215" s="10"/>
    </row>
    <row r="216" spans="1:21" x14ac:dyDescent="0.25">
      <c r="A216" s="18"/>
      <c r="B216" s="18"/>
      <c r="C216" s="9">
        <f>IF(B216="","",IFERROR(VLOOKUP(B216,'01_Employes'!$A$6:$Q$30,4,FALSE),"⚠ ID inconnu"))</f>
      </c>
      <c r="D216" s="9">
        <f>IF(A216="","",TEXT(A216,"dddd"))</f>
      </c>
      <c r="E216" s="24">
        <f>IF(A216="","",IFERROR(INDEX('00_Parametres'!$C$7:$C$13,WEEKDAY(A216,2)),""))</f>
      </c>
      <c r="F216" s="24">
        <f>IF(A216="","",IFERROR(INDEX('00_Parametres'!$D$7:$D$13,WEEKDAY(A216,2)),""))</f>
      </c>
      <c r="G216" s="24">
        <f>IF(A216="","",IFERROR(INDEX('00_Parametres'!$E$7:$E$13,WEEKDAY(A216,2)),0))</f>
      </c>
      <c r="H216" s="11"/>
      <c r="I216" s="11"/>
      <c r="J216" s="11"/>
      <c r="K216" s="11"/>
      <c r="L216" s="12">
        <f>IF(OR(A216="",H216=""),"",IF(H216&lt;E216,IF(OR(J216="Oui",'00_Parametres'!$B$28="Oui"),H216,E216),H216))</f>
      </c>
      <c r="M216" s="12">
        <f>IF(OR(A216="",I216=""),"",IF(I216&gt;F216,IF(OR(K216="Oui",'00_Parametres'!$B$29="Oui"),I216,F216),I216))</f>
      </c>
      <c r="N216" s="25">
        <f>IF(OR(A216="",H216="",E216=""),0,MAX(0,ROUND((H216-E216)*1440,0)))</f>
      </c>
      <c r="O216" s="25">
        <f>IF(OR(A216="",I216="",F216=""),0,MAX(0,ROUND((F216-I216)*1440,0)))</f>
      </c>
      <c r="P216" s="12">
        <f>IF(OR(L216="",M216=""),0,MAX(0,ROUND((M216-L216)*24-G216,2)))</f>
      </c>
      <c r="Q216" s="12">
        <f>IF(P216=0,0,MIN(P216,'00_Parametres'!$B$23))</f>
      </c>
      <c r="R216" s="12">
        <f>IF(P216=0,0,MAX(0,P216-'00_Parametres'!$B$23))</f>
      </c>
      <c r="S216" s="10"/>
      <c r="T216" s="10"/>
      <c r="U216" s="10"/>
    </row>
    <row r="217" spans="1:21" x14ac:dyDescent="0.25">
      <c r="A217" s="18"/>
      <c r="B217" s="18"/>
      <c r="C217" s="9">
        <f>IF(B217="","",IFERROR(VLOOKUP(B217,'01_Employes'!$A$6:$Q$30,4,FALSE),"⚠ ID inconnu"))</f>
      </c>
      <c r="D217" s="9">
        <f>IF(A217="","",TEXT(A217,"dddd"))</f>
      </c>
      <c r="E217" s="24">
        <f>IF(A217="","",IFERROR(INDEX('00_Parametres'!$C$7:$C$13,WEEKDAY(A217,2)),""))</f>
      </c>
      <c r="F217" s="24">
        <f>IF(A217="","",IFERROR(INDEX('00_Parametres'!$D$7:$D$13,WEEKDAY(A217,2)),""))</f>
      </c>
      <c r="G217" s="24">
        <f>IF(A217="","",IFERROR(INDEX('00_Parametres'!$E$7:$E$13,WEEKDAY(A217,2)),0))</f>
      </c>
      <c r="H217" s="11"/>
      <c r="I217" s="11"/>
      <c r="J217" s="11"/>
      <c r="K217" s="11"/>
      <c r="L217" s="12">
        <f>IF(OR(A217="",H217=""),"",IF(H217&lt;E217,IF(OR(J217="Oui",'00_Parametres'!$B$28="Oui"),H217,E217),H217))</f>
      </c>
      <c r="M217" s="12">
        <f>IF(OR(A217="",I217=""),"",IF(I217&gt;F217,IF(OR(K217="Oui",'00_Parametres'!$B$29="Oui"),I217,F217),I217))</f>
      </c>
      <c r="N217" s="25">
        <f>IF(OR(A217="",H217="",E217=""),0,MAX(0,ROUND((H217-E217)*1440,0)))</f>
      </c>
      <c r="O217" s="25">
        <f>IF(OR(A217="",I217="",F217=""),0,MAX(0,ROUND((F217-I217)*1440,0)))</f>
      </c>
      <c r="P217" s="12">
        <f>IF(OR(L217="",M217=""),0,MAX(0,ROUND((M217-L217)*24-G217,2)))</f>
      </c>
      <c r="Q217" s="12">
        <f>IF(P217=0,0,MIN(P217,'00_Parametres'!$B$23))</f>
      </c>
      <c r="R217" s="12">
        <f>IF(P217=0,0,MAX(0,P217-'00_Parametres'!$B$23))</f>
      </c>
      <c r="S217" s="10"/>
      <c r="T217" s="10"/>
      <c r="U217" s="10"/>
    </row>
    <row r="218" spans="1:21" x14ac:dyDescent="0.25">
      <c r="A218" s="18"/>
      <c r="B218" s="18"/>
      <c r="C218" s="9">
        <f>IF(B218="","",IFERROR(VLOOKUP(B218,'01_Employes'!$A$6:$Q$30,4,FALSE),"⚠ ID inconnu"))</f>
      </c>
      <c r="D218" s="9">
        <f>IF(A218="","",TEXT(A218,"dddd"))</f>
      </c>
      <c r="E218" s="24">
        <f>IF(A218="","",IFERROR(INDEX('00_Parametres'!$C$7:$C$13,WEEKDAY(A218,2)),""))</f>
      </c>
      <c r="F218" s="24">
        <f>IF(A218="","",IFERROR(INDEX('00_Parametres'!$D$7:$D$13,WEEKDAY(A218,2)),""))</f>
      </c>
      <c r="G218" s="24">
        <f>IF(A218="","",IFERROR(INDEX('00_Parametres'!$E$7:$E$13,WEEKDAY(A218,2)),0))</f>
      </c>
      <c r="H218" s="11"/>
      <c r="I218" s="11"/>
      <c r="J218" s="11"/>
      <c r="K218" s="11"/>
      <c r="L218" s="12">
        <f>IF(OR(A218="",H218=""),"",IF(H218&lt;E218,IF(OR(J218="Oui",'00_Parametres'!$B$28="Oui"),H218,E218),H218))</f>
      </c>
      <c r="M218" s="12">
        <f>IF(OR(A218="",I218=""),"",IF(I218&gt;F218,IF(OR(K218="Oui",'00_Parametres'!$B$29="Oui"),I218,F218),I218))</f>
      </c>
      <c r="N218" s="25">
        <f>IF(OR(A218="",H218="",E218=""),0,MAX(0,ROUND((H218-E218)*1440,0)))</f>
      </c>
      <c r="O218" s="25">
        <f>IF(OR(A218="",I218="",F218=""),0,MAX(0,ROUND((F218-I218)*1440,0)))</f>
      </c>
      <c r="P218" s="12">
        <f>IF(OR(L218="",M218=""),0,MAX(0,ROUND((M218-L218)*24-G218,2)))</f>
      </c>
      <c r="Q218" s="12">
        <f>IF(P218=0,0,MIN(P218,'00_Parametres'!$B$23))</f>
      </c>
      <c r="R218" s="12">
        <f>IF(P218=0,0,MAX(0,P218-'00_Parametres'!$B$23))</f>
      </c>
      <c r="S218" s="10"/>
      <c r="T218" s="10"/>
      <c r="U218" s="10"/>
    </row>
    <row r="219" spans="1:21" x14ac:dyDescent="0.25">
      <c r="A219" s="18"/>
      <c r="B219" s="18"/>
      <c r="C219" s="9">
        <f>IF(B219="","",IFERROR(VLOOKUP(B219,'01_Employes'!$A$6:$Q$30,4,FALSE),"⚠ ID inconnu"))</f>
      </c>
      <c r="D219" s="9">
        <f>IF(A219="","",TEXT(A219,"dddd"))</f>
      </c>
      <c r="E219" s="24">
        <f>IF(A219="","",IFERROR(INDEX('00_Parametres'!$C$7:$C$13,WEEKDAY(A219,2)),""))</f>
      </c>
      <c r="F219" s="24">
        <f>IF(A219="","",IFERROR(INDEX('00_Parametres'!$D$7:$D$13,WEEKDAY(A219,2)),""))</f>
      </c>
      <c r="G219" s="24">
        <f>IF(A219="","",IFERROR(INDEX('00_Parametres'!$E$7:$E$13,WEEKDAY(A219,2)),0))</f>
      </c>
      <c r="H219" s="11"/>
      <c r="I219" s="11"/>
      <c r="J219" s="11"/>
      <c r="K219" s="11"/>
      <c r="L219" s="12">
        <f>IF(OR(A219="",H219=""),"",IF(H219&lt;E219,IF(OR(J219="Oui",'00_Parametres'!$B$28="Oui"),H219,E219),H219))</f>
      </c>
      <c r="M219" s="12">
        <f>IF(OR(A219="",I219=""),"",IF(I219&gt;F219,IF(OR(K219="Oui",'00_Parametres'!$B$29="Oui"),I219,F219),I219))</f>
      </c>
      <c r="N219" s="25">
        <f>IF(OR(A219="",H219="",E219=""),0,MAX(0,ROUND((H219-E219)*1440,0)))</f>
      </c>
      <c r="O219" s="25">
        <f>IF(OR(A219="",I219="",F219=""),0,MAX(0,ROUND((F219-I219)*1440,0)))</f>
      </c>
      <c r="P219" s="12">
        <f>IF(OR(L219="",M219=""),0,MAX(0,ROUND((M219-L219)*24-G219,2)))</f>
      </c>
      <c r="Q219" s="12">
        <f>IF(P219=0,0,MIN(P219,'00_Parametres'!$B$23))</f>
      </c>
      <c r="R219" s="12">
        <f>IF(P219=0,0,MAX(0,P219-'00_Parametres'!$B$23))</f>
      </c>
      <c r="S219" s="10"/>
      <c r="T219" s="10"/>
      <c r="U219" s="10"/>
    </row>
    <row r="220" spans="1:21" x14ac:dyDescent="0.25">
      <c r="A220" s="18"/>
      <c r="B220" s="18"/>
      <c r="C220" s="9">
        <f>IF(B220="","",IFERROR(VLOOKUP(B220,'01_Employes'!$A$6:$Q$30,4,FALSE),"⚠ ID inconnu"))</f>
      </c>
      <c r="D220" s="9">
        <f>IF(A220="","",TEXT(A220,"dddd"))</f>
      </c>
      <c r="E220" s="24">
        <f>IF(A220="","",IFERROR(INDEX('00_Parametres'!$C$7:$C$13,WEEKDAY(A220,2)),""))</f>
      </c>
      <c r="F220" s="24">
        <f>IF(A220="","",IFERROR(INDEX('00_Parametres'!$D$7:$D$13,WEEKDAY(A220,2)),""))</f>
      </c>
      <c r="G220" s="24">
        <f>IF(A220="","",IFERROR(INDEX('00_Parametres'!$E$7:$E$13,WEEKDAY(A220,2)),0))</f>
      </c>
      <c r="H220" s="11"/>
      <c r="I220" s="11"/>
      <c r="J220" s="11"/>
      <c r="K220" s="11"/>
      <c r="L220" s="12">
        <f>IF(OR(A220="",H220=""),"",IF(H220&lt;E220,IF(OR(J220="Oui",'00_Parametres'!$B$28="Oui"),H220,E220),H220))</f>
      </c>
      <c r="M220" s="12">
        <f>IF(OR(A220="",I220=""),"",IF(I220&gt;F220,IF(OR(K220="Oui",'00_Parametres'!$B$29="Oui"),I220,F220),I220))</f>
      </c>
      <c r="N220" s="25">
        <f>IF(OR(A220="",H220="",E220=""),0,MAX(0,ROUND((H220-E220)*1440,0)))</f>
      </c>
      <c r="O220" s="25">
        <f>IF(OR(A220="",I220="",F220=""),0,MAX(0,ROUND((F220-I220)*1440,0)))</f>
      </c>
      <c r="P220" s="12">
        <f>IF(OR(L220="",M220=""),0,MAX(0,ROUND((M220-L220)*24-G220,2)))</f>
      </c>
      <c r="Q220" s="12">
        <f>IF(P220=0,0,MIN(P220,'00_Parametres'!$B$23))</f>
      </c>
      <c r="R220" s="12">
        <f>IF(P220=0,0,MAX(0,P220-'00_Parametres'!$B$23))</f>
      </c>
      <c r="S220" s="10"/>
      <c r="T220" s="10"/>
      <c r="U220" s="10"/>
    </row>
    <row r="221" spans="1:21" x14ac:dyDescent="0.25">
      <c r="A221" s="18"/>
      <c r="B221" s="18"/>
      <c r="C221" s="9">
        <f>IF(B221="","",IFERROR(VLOOKUP(B221,'01_Employes'!$A$6:$Q$30,4,FALSE),"⚠ ID inconnu"))</f>
      </c>
      <c r="D221" s="9">
        <f>IF(A221="","",TEXT(A221,"dddd"))</f>
      </c>
      <c r="E221" s="24">
        <f>IF(A221="","",IFERROR(INDEX('00_Parametres'!$C$7:$C$13,WEEKDAY(A221,2)),""))</f>
      </c>
      <c r="F221" s="24">
        <f>IF(A221="","",IFERROR(INDEX('00_Parametres'!$D$7:$D$13,WEEKDAY(A221,2)),""))</f>
      </c>
      <c r="G221" s="24">
        <f>IF(A221="","",IFERROR(INDEX('00_Parametres'!$E$7:$E$13,WEEKDAY(A221,2)),0))</f>
      </c>
      <c r="H221" s="11"/>
      <c r="I221" s="11"/>
      <c r="J221" s="11"/>
      <c r="K221" s="11"/>
      <c r="L221" s="12">
        <f>IF(OR(A221="",H221=""),"",IF(H221&lt;E221,IF(OR(J221="Oui",'00_Parametres'!$B$28="Oui"),H221,E221),H221))</f>
      </c>
      <c r="M221" s="12">
        <f>IF(OR(A221="",I221=""),"",IF(I221&gt;F221,IF(OR(K221="Oui",'00_Parametres'!$B$29="Oui"),I221,F221),I221))</f>
      </c>
      <c r="N221" s="25">
        <f>IF(OR(A221="",H221="",E221=""),0,MAX(0,ROUND((H221-E221)*1440,0)))</f>
      </c>
      <c r="O221" s="25">
        <f>IF(OR(A221="",I221="",F221=""),0,MAX(0,ROUND((F221-I221)*1440,0)))</f>
      </c>
      <c r="P221" s="12">
        <f>IF(OR(L221="",M221=""),0,MAX(0,ROUND((M221-L221)*24-G221,2)))</f>
      </c>
      <c r="Q221" s="12">
        <f>IF(P221=0,0,MIN(P221,'00_Parametres'!$B$23))</f>
      </c>
      <c r="R221" s="12">
        <f>IF(P221=0,0,MAX(0,P221-'00_Parametres'!$B$23))</f>
      </c>
      <c r="S221" s="10"/>
      <c r="T221" s="10"/>
      <c r="U221" s="10"/>
    </row>
    <row r="222" spans="1:21" x14ac:dyDescent="0.25">
      <c r="A222" s="18"/>
      <c r="B222" s="18"/>
      <c r="C222" s="9">
        <f>IF(B222="","",IFERROR(VLOOKUP(B222,'01_Employes'!$A$6:$Q$30,4,FALSE),"⚠ ID inconnu"))</f>
      </c>
      <c r="D222" s="9">
        <f>IF(A222="","",TEXT(A222,"dddd"))</f>
      </c>
      <c r="E222" s="24">
        <f>IF(A222="","",IFERROR(INDEX('00_Parametres'!$C$7:$C$13,WEEKDAY(A222,2)),""))</f>
      </c>
      <c r="F222" s="24">
        <f>IF(A222="","",IFERROR(INDEX('00_Parametres'!$D$7:$D$13,WEEKDAY(A222,2)),""))</f>
      </c>
      <c r="G222" s="24">
        <f>IF(A222="","",IFERROR(INDEX('00_Parametres'!$E$7:$E$13,WEEKDAY(A222,2)),0))</f>
      </c>
      <c r="H222" s="11"/>
      <c r="I222" s="11"/>
      <c r="J222" s="11"/>
      <c r="K222" s="11"/>
      <c r="L222" s="12">
        <f>IF(OR(A222="",H222=""),"",IF(H222&lt;E222,IF(OR(J222="Oui",'00_Parametres'!$B$28="Oui"),H222,E222),H222))</f>
      </c>
      <c r="M222" s="12">
        <f>IF(OR(A222="",I222=""),"",IF(I222&gt;F222,IF(OR(K222="Oui",'00_Parametres'!$B$29="Oui"),I222,F222),I222))</f>
      </c>
      <c r="N222" s="25">
        <f>IF(OR(A222="",H222="",E222=""),0,MAX(0,ROUND((H222-E222)*1440,0)))</f>
      </c>
      <c r="O222" s="25">
        <f>IF(OR(A222="",I222="",F222=""),0,MAX(0,ROUND((F222-I222)*1440,0)))</f>
      </c>
      <c r="P222" s="12">
        <f>IF(OR(L222="",M222=""),0,MAX(0,ROUND((M222-L222)*24-G222,2)))</f>
      </c>
      <c r="Q222" s="12">
        <f>IF(P222=0,0,MIN(P222,'00_Parametres'!$B$23))</f>
      </c>
      <c r="R222" s="12">
        <f>IF(P222=0,0,MAX(0,P222-'00_Parametres'!$B$23))</f>
      </c>
      <c r="S222" s="10"/>
      <c r="T222" s="10"/>
      <c r="U222" s="10"/>
    </row>
    <row r="223" spans="1:21" x14ac:dyDescent="0.25">
      <c r="A223" s="18"/>
      <c r="B223" s="18"/>
      <c r="C223" s="9">
        <f>IF(B223="","",IFERROR(VLOOKUP(B223,'01_Employes'!$A$6:$Q$30,4,FALSE),"⚠ ID inconnu"))</f>
      </c>
      <c r="D223" s="9">
        <f>IF(A223="","",TEXT(A223,"dddd"))</f>
      </c>
      <c r="E223" s="24">
        <f>IF(A223="","",IFERROR(INDEX('00_Parametres'!$C$7:$C$13,WEEKDAY(A223,2)),""))</f>
      </c>
      <c r="F223" s="24">
        <f>IF(A223="","",IFERROR(INDEX('00_Parametres'!$D$7:$D$13,WEEKDAY(A223,2)),""))</f>
      </c>
      <c r="G223" s="24">
        <f>IF(A223="","",IFERROR(INDEX('00_Parametres'!$E$7:$E$13,WEEKDAY(A223,2)),0))</f>
      </c>
      <c r="H223" s="11"/>
      <c r="I223" s="11"/>
      <c r="J223" s="11"/>
      <c r="K223" s="11"/>
      <c r="L223" s="12">
        <f>IF(OR(A223="",H223=""),"",IF(H223&lt;E223,IF(OR(J223="Oui",'00_Parametres'!$B$28="Oui"),H223,E223),H223))</f>
      </c>
      <c r="M223" s="12">
        <f>IF(OR(A223="",I223=""),"",IF(I223&gt;F223,IF(OR(K223="Oui",'00_Parametres'!$B$29="Oui"),I223,F223),I223))</f>
      </c>
      <c r="N223" s="25">
        <f>IF(OR(A223="",H223="",E223=""),0,MAX(0,ROUND((H223-E223)*1440,0)))</f>
      </c>
      <c r="O223" s="25">
        <f>IF(OR(A223="",I223="",F223=""),0,MAX(0,ROUND((F223-I223)*1440,0)))</f>
      </c>
      <c r="P223" s="12">
        <f>IF(OR(L223="",M223=""),0,MAX(0,ROUND((M223-L223)*24-G223,2)))</f>
      </c>
      <c r="Q223" s="12">
        <f>IF(P223=0,0,MIN(P223,'00_Parametres'!$B$23))</f>
      </c>
      <c r="R223" s="12">
        <f>IF(P223=0,0,MAX(0,P223-'00_Parametres'!$B$23))</f>
      </c>
      <c r="S223" s="10"/>
      <c r="T223" s="10"/>
      <c r="U223" s="10"/>
    </row>
    <row r="224" spans="1:21" x14ac:dyDescent="0.25">
      <c r="A224" s="18"/>
      <c r="B224" s="18"/>
      <c r="C224" s="9">
        <f>IF(B224="","",IFERROR(VLOOKUP(B224,'01_Employes'!$A$6:$Q$30,4,FALSE),"⚠ ID inconnu"))</f>
      </c>
      <c r="D224" s="9">
        <f>IF(A224="","",TEXT(A224,"dddd"))</f>
      </c>
      <c r="E224" s="24">
        <f>IF(A224="","",IFERROR(INDEX('00_Parametres'!$C$7:$C$13,WEEKDAY(A224,2)),""))</f>
      </c>
      <c r="F224" s="24">
        <f>IF(A224="","",IFERROR(INDEX('00_Parametres'!$D$7:$D$13,WEEKDAY(A224,2)),""))</f>
      </c>
      <c r="G224" s="24">
        <f>IF(A224="","",IFERROR(INDEX('00_Parametres'!$E$7:$E$13,WEEKDAY(A224,2)),0))</f>
      </c>
      <c r="H224" s="11"/>
      <c r="I224" s="11"/>
      <c r="J224" s="11"/>
      <c r="K224" s="11"/>
      <c r="L224" s="12">
        <f>IF(OR(A224="",H224=""),"",IF(H224&lt;E224,IF(OR(J224="Oui",'00_Parametres'!$B$28="Oui"),H224,E224),H224))</f>
      </c>
      <c r="M224" s="12">
        <f>IF(OR(A224="",I224=""),"",IF(I224&gt;F224,IF(OR(K224="Oui",'00_Parametres'!$B$29="Oui"),I224,F224),I224))</f>
      </c>
      <c r="N224" s="25">
        <f>IF(OR(A224="",H224="",E224=""),0,MAX(0,ROUND((H224-E224)*1440,0)))</f>
      </c>
      <c r="O224" s="25">
        <f>IF(OR(A224="",I224="",F224=""),0,MAX(0,ROUND((F224-I224)*1440,0)))</f>
      </c>
      <c r="P224" s="12">
        <f>IF(OR(L224="",M224=""),0,MAX(0,ROUND((M224-L224)*24-G224,2)))</f>
      </c>
      <c r="Q224" s="12">
        <f>IF(P224=0,0,MIN(P224,'00_Parametres'!$B$23))</f>
      </c>
      <c r="R224" s="12">
        <f>IF(P224=0,0,MAX(0,P224-'00_Parametres'!$B$23))</f>
      </c>
      <c r="S224" s="10"/>
      <c r="T224" s="10"/>
      <c r="U224" s="10"/>
    </row>
    <row r="225" spans="1:21" x14ac:dyDescent="0.25">
      <c r="A225" s="18"/>
      <c r="B225" s="18"/>
      <c r="C225" s="9">
        <f>IF(B225="","",IFERROR(VLOOKUP(B225,'01_Employes'!$A$6:$Q$30,4,FALSE),"⚠ ID inconnu"))</f>
      </c>
      <c r="D225" s="9">
        <f>IF(A225="","",TEXT(A225,"dddd"))</f>
      </c>
      <c r="E225" s="24">
        <f>IF(A225="","",IFERROR(INDEX('00_Parametres'!$C$7:$C$13,WEEKDAY(A225,2)),""))</f>
      </c>
      <c r="F225" s="24">
        <f>IF(A225="","",IFERROR(INDEX('00_Parametres'!$D$7:$D$13,WEEKDAY(A225,2)),""))</f>
      </c>
      <c r="G225" s="24">
        <f>IF(A225="","",IFERROR(INDEX('00_Parametres'!$E$7:$E$13,WEEKDAY(A225,2)),0))</f>
      </c>
      <c r="H225" s="11"/>
      <c r="I225" s="11"/>
      <c r="J225" s="11"/>
      <c r="K225" s="11"/>
      <c r="L225" s="12">
        <f>IF(OR(A225="",H225=""),"",IF(H225&lt;E225,IF(OR(J225="Oui",'00_Parametres'!$B$28="Oui"),H225,E225),H225))</f>
      </c>
      <c r="M225" s="12">
        <f>IF(OR(A225="",I225=""),"",IF(I225&gt;F225,IF(OR(K225="Oui",'00_Parametres'!$B$29="Oui"),I225,F225),I225))</f>
      </c>
      <c r="N225" s="25">
        <f>IF(OR(A225="",H225="",E225=""),0,MAX(0,ROUND((H225-E225)*1440,0)))</f>
      </c>
      <c r="O225" s="25">
        <f>IF(OR(A225="",I225="",F225=""),0,MAX(0,ROUND((F225-I225)*1440,0)))</f>
      </c>
      <c r="P225" s="12">
        <f>IF(OR(L225="",M225=""),0,MAX(0,ROUND((M225-L225)*24-G225,2)))</f>
      </c>
      <c r="Q225" s="12">
        <f>IF(P225=0,0,MIN(P225,'00_Parametres'!$B$23))</f>
      </c>
      <c r="R225" s="12">
        <f>IF(P225=0,0,MAX(0,P225-'00_Parametres'!$B$23))</f>
      </c>
      <c r="S225" s="10"/>
      <c r="T225" s="10"/>
      <c r="U225" s="10"/>
    </row>
    <row r="226" spans="1:21" x14ac:dyDescent="0.25">
      <c r="A226" s="18"/>
      <c r="B226" s="18"/>
      <c r="C226" s="9">
        <f>IF(B226="","",IFERROR(VLOOKUP(B226,'01_Employes'!$A$6:$Q$30,4,FALSE),"⚠ ID inconnu"))</f>
      </c>
      <c r="D226" s="9">
        <f>IF(A226="","",TEXT(A226,"dddd"))</f>
      </c>
      <c r="E226" s="24">
        <f>IF(A226="","",IFERROR(INDEX('00_Parametres'!$C$7:$C$13,WEEKDAY(A226,2)),""))</f>
      </c>
      <c r="F226" s="24">
        <f>IF(A226="","",IFERROR(INDEX('00_Parametres'!$D$7:$D$13,WEEKDAY(A226,2)),""))</f>
      </c>
      <c r="G226" s="24">
        <f>IF(A226="","",IFERROR(INDEX('00_Parametres'!$E$7:$E$13,WEEKDAY(A226,2)),0))</f>
      </c>
      <c r="H226" s="11"/>
      <c r="I226" s="11"/>
      <c r="J226" s="11"/>
      <c r="K226" s="11"/>
      <c r="L226" s="12">
        <f>IF(OR(A226="",H226=""),"",IF(H226&lt;E226,IF(OR(J226="Oui",'00_Parametres'!$B$28="Oui"),H226,E226),H226))</f>
      </c>
      <c r="M226" s="12">
        <f>IF(OR(A226="",I226=""),"",IF(I226&gt;F226,IF(OR(K226="Oui",'00_Parametres'!$B$29="Oui"),I226,F226),I226))</f>
      </c>
      <c r="N226" s="25">
        <f>IF(OR(A226="",H226="",E226=""),0,MAX(0,ROUND((H226-E226)*1440,0)))</f>
      </c>
      <c r="O226" s="25">
        <f>IF(OR(A226="",I226="",F226=""),0,MAX(0,ROUND((F226-I226)*1440,0)))</f>
      </c>
      <c r="P226" s="12">
        <f>IF(OR(L226="",M226=""),0,MAX(0,ROUND((M226-L226)*24-G226,2)))</f>
      </c>
      <c r="Q226" s="12">
        <f>IF(P226=0,0,MIN(P226,'00_Parametres'!$B$23))</f>
      </c>
      <c r="R226" s="12">
        <f>IF(P226=0,0,MAX(0,P226-'00_Parametres'!$B$23))</f>
      </c>
      <c r="S226" s="10"/>
      <c r="T226" s="10"/>
      <c r="U226" s="10"/>
    </row>
    <row r="227" spans="1:21" x14ac:dyDescent="0.25">
      <c r="A227" s="18"/>
      <c r="B227" s="18"/>
      <c r="C227" s="9">
        <f>IF(B227="","",IFERROR(VLOOKUP(B227,'01_Employes'!$A$6:$Q$30,4,FALSE),"⚠ ID inconnu"))</f>
      </c>
      <c r="D227" s="9">
        <f>IF(A227="","",TEXT(A227,"dddd"))</f>
      </c>
      <c r="E227" s="24">
        <f>IF(A227="","",IFERROR(INDEX('00_Parametres'!$C$7:$C$13,WEEKDAY(A227,2)),""))</f>
      </c>
      <c r="F227" s="24">
        <f>IF(A227="","",IFERROR(INDEX('00_Parametres'!$D$7:$D$13,WEEKDAY(A227,2)),""))</f>
      </c>
      <c r="G227" s="24">
        <f>IF(A227="","",IFERROR(INDEX('00_Parametres'!$E$7:$E$13,WEEKDAY(A227,2)),0))</f>
      </c>
      <c r="H227" s="11"/>
      <c r="I227" s="11"/>
      <c r="J227" s="11"/>
      <c r="K227" s="11"/>
      <c r="L227" s="12">
        <f>IF(OR(A227="",H227=""),"",IF(H227&lt;E227,IF(OR(J227="Oui",'00_Parametres'!$B$28="Oui"),H227,E227),H227))</f>
      </c>
      <c r="M227" s="12">
        <f>IF(OR(A227="",I227=""),"",IF(I227&gt;F227,IF(OR(K227="Oui",'00_Parametres'!$B$29="Oui"),I227,F227),I227))</f>
      </c>
      <c r="N227" s="25">
        <f>IF(OR(A227="",H227="",E227=""),0,MAX(0,ROUND((H227-E227)*1440,0)))</f>
      </c>
      <c r="O227" s="25">
        <f>IF(OR(A227="",I227="",F227=""),0,MAX(0,ROUND((F227-I227)*1440,0)))</f>
      </c>
      <c r="P227" s="12">
        <f>IF(OR(L227="",M227=""),0,MAX(0,ROUND((M227-L227)*24-G227,2)))</f>
      </c>
      <c r="Q227" s="12">
        <f>IF(P227=0,0,MIN(P227,'00_Parametres'!$B$23))</f>
      </c>
      <c r="R227" s="12">
        <f>IF(P227=0,0,MAX(0,P227-'00_Parametres'!$B$23))</f>
      </c>
      <c r="S227" s="10"/>
      <c r="T227" s="10"/>
      <c r="U227" s="10"/>
    </row>
    <row r="228" spans="1:21" x14ac:dyDescent="0.25">
      <c r="A228" s="18"/>
      <c r="B228" s="18"/>
      <c r="C228" s="9">
        <f>IF(B228="","",IFERROR(VLOOKUP(B228,'01_Employes'!$A$6:$Q$30,4,FALSE),"⚠ ID inconnu"))</f>
      </c>
      <c r="D228" s="9">
        <f>IF(A228="","",TEXT(A228,"dddd"))</f>
      </c>
      <c r="E228" s="24">
        <f>IF(A228="","",IFERROR(INDEX('00_Parametres'!$C$7:$C$13,WEEKDAY(A228,2)),""))</f>
      </c>
      <c r="F228" s="24">
        <f>IF(A228="","",IFERROR(INDEX('00_Parametres'!$D$7:$D$13,WEEKDAY(A228,2)),""))</f>
      </c>
      <c r="G228" s="24">
        <f>IF(A228="","",IFERROR(INDEX('00_Parametres'!$E$7:$E$13,WEEKDAY(A228,2)),0))</f>
      </c>
      <c r="H228" s="11"/>
      <c r="I228" s="11"/>
      <c r="J228" s="11"/>
      <c r="K228" s="11"/>
      <c r="L228" s="12">
        <f>IF(OR(A228="",H228=""),"",IF(H228&lt;E228,IF(OR(J228="Oui",'00_Parametres'!$B$28="Oui"),H228,E228),H228))</f>
      </c>
      <c r="M228" s="12">
        <f>IF(OR(A228="",I228=""),"",IF(I228&gt;F228,IF(OR(K228="Oui",'00_Parametres'!$B$29="Oui"),I228,F228),I228))</f>
      </c>
      <c r="N228" s="25">
        <f>IF(OR(A228="",H228="",E228=""),0,MAX(0,ROUND((H228-E228)*1440,0)))</f>
      </c>
      <c r="O228" s="25">
        <f>IF(OR(A228="",I228="",F228=""),0,MAX(0,ROUND((F228-I228)*1440,0)))</f>
      </c>
      <c r="P228" s="12">
        <f>IF(OR(L228="",M228=""),0,MAX(0,ROUND((M228-L228)*24-G228,2)))</f>
      </c>
      <c r="Q228" s="12">
        <f>IF(P228=0,0,MIN(P228,'00_Parametres'!$B$23))</f>
      </c>
      <c r="R228" s="12">
        <f>IF(P228=0,0,MAX(0,P228-'00_Parametres'!$B$23))</f>
      </c>
      <c r="S228" s="10"/>
      <c r="T228" s="10"/>
      <c r="U228" s="10"/>
    </row>
    <row r="229" spans="1:21" x14ac:dyDescent="0.25">
      <c r="A229" s="18"/>
      <c r="B229" s="18"/>
      <c r="C229" s="9">
        <f>IF(B229="","",IFERROR(VLOOKUP(B229,'01_Employes'!$A$6:$Q$30,4,FALSE),"⚠ ID inconnu"))</f>
      </c>
      <c r="D229" s="9">
        <f>IF(A229="","",TEXT(A229,"dddd"))</f>
      </c>
      <c r="E229" s="24">
        <f>IF(A229="","",IFERROR(INDEX('00_Parametres'!$C$7:$C$13,WEEKDAY(A229,2)),""))</f>
      </c>
      <c r="F229" s="24">
        <f>IF(A229="","",IFERROR(INDEX('00_Parametres'!$D$7:$D$13,WEEKDAY(A229,2)),""))</f>
      </c>
      <c r="G229" s="24">
        <f>IF(A229="","",IFERROR(INDEX('00_Parametres'!$E$7:$E$13,WEEKDAY(A229,2)),0))</f>
      </c>
      <c r="H229" s="11"/>
      <c r="I229" s="11"/>
      <c r="J229" s="11"/>
      <c r="K229" s="11"/>
      <c r="L229" s="12">
        <f>IF(OR(A229="",H229=""),"",IF(H229&lt;E229,IF(OR(J229="Oui",'00_Parametres'!$B$28="Oui"),H229,E229),H229))</f>
      </c>
      <c r="M229" s="12">
        <f>IF(OR(A229="",I229=""),"",IF(I229&gt;F229,IF(OR(K229="Oui",'00_Parametres'!$B$29="Oui"),I229,F229),I229))</f>
      </c>
      <c r="N229" s="25">
        <f>IF(OR(A229="",H229="",E229=""),0,MAX(0,ROUND((H229-E229)*1440,0)))</f>
      </c>
      <c r="O229" s="25">
        <f>IF(OR(A229="",I229="",F229=""),0,MAX(0,ROUND((F229-I229)*1440,0)))</f>
      </c>
      <c r="P229" s="12">
        <f>IF(OR(L229="",M229=""),0,MAX(0,ROUND((M229-L229)*24-G229,2)))</f>
      </c>
      <c r="Q229" s="12">
        <f>IF(P229=0,0,MIN(P229,'00_Parametres'!$B$23))</f>
      </c>
      <c r="R229" s="12">
        <f>IF(P229=0,0,MAX(0,P229-'00_Parametres'!$B$23))</f>
      </c>
      <c r="S229" s="10"/>
      <c r="T229" s="10"/>
      <c r="U229" s="10"/>
    </row>
    <row r="230" spans="1:21" x14ac:dyDescent="0.25">
      <c r="A230" s="18"/>
      <c r="B230" s="18"/>
      <c r="C230" s="9">
        <f>IF(B230="","",IFERROR(VLOOKUP(B230,'01_Employes'!$A$6:$Q$30,4,FALSE),"⚠ ID inconnu"))</f>
      </c>
      <c r="D230" s="9">
        <f>IF(A230="","",TEXT(A230,"dddd"))</f>
      </c>
      <c r="E230" s="24">
        <f>IF(A230="","",IFERROR(INDEX('00_Parametres'!$C$7:$C$13,WEEKDAY(A230,2)),""))</f>
      </c>
      <c r="F230" s="24">
        <f>IF(A230="","",IFERROR(INDEX('00_Parametres'!$D$7:$D$13,WEEKDAY(A230,2)),""))</f>
      </c>
      <c r="G230" s="24">
        <f>IF(A230="","",IFERROR(INDEX('00_Parametres'!$E$7:$E$13,WEEKDAY(A230,2)),0))</f>
      </c>
      <c r="H230" s="11"/>
      <c r="I230" s="11"/>
      <c r="J230" s="11"/>
      <c r="K230" s="11"/>
      <c r="L230" s="12">
        <f>IF(OR(A230="",H230=""),"",IF(H230&lt;E230,IF(OR(J230="Oui",'00_Parametres'!$B$28="Oui"),H230,E230),H230))</f>
      </c>
      <c r="M230" s="12">
        <f>IF(OR(A230="",I230=""),"",IF(I230&gt;F230,IF(OR(K230="Oui",'00_Parametres'!$B$29="Oui"),I230,F230),I230))</f>
      </c>
      <c r="N230" s="25">
        <f>IF(OR(A230="",H230="",E230=""),0,MAX(0,ROUND((H230-E230)*1440,0)))</f>
      </c>
      <c r="O230" s="25">
        <f>IF(OR(A230="",I230="",F230=""),0,MAX(0,ROUND((F230-I230)*1440,0)))</f>
      </c>
      <c r="P230" s="12">
        <f>IF(OR(L230="",M230=""),0,MAX(0,ROUND((M230-L230)*24-G230,2)))</f>
      </c>
      <c r="Q230" s="12">
        <f>IF(P230=0,0,MIN(P230,'00_Parametres'!$B$23))</f>
      </c>
      <c r="R230" s="12">
        <f>IF(P230=0,0,MAX(0,P230-'00_Parametres'!$B$23))</f>
      </c>
      <c r="S230" s="10"/>
      <c r="T230" s="10"/>
      <c r="U230" s="10"/>
    </row>
    <row r="231" spans="1:21" x14ac:dyDescent="0.25">
      <c r="A231" s="18"/>
      <c r="B231" s="18"/>
      <c r="C231" s="9">
        <f>IF(B231="","",IFERROR(VLOOKUP(B231,'01_Employes'!$A$6:$Q$30,4,FALSE),"⚠ ID inconnu"))</f>
      </c>
      <c r="D231" s="9">
        <f>IF(A231="","",TEXT(A231,"dddd"))</f>
      </c>
      <c r="E231" s="24">
        <f>IF(A231="","",IFERROR(INDEX('00_Parametres'!$C$7:$C$13,WEEKDAY(A231,2)),""))</f>
      </c>
      <c r="F231" s="24">
        <f>IF(A231="","",IFERROR(INDEX('00_Parametres'!$D$7:$D$13,WEEKDAY(A231,2)),""))</f>
      </c>
      <c r="G231" s="24">
        <f>IF(A231="","",IFERROR(INDEX('00_Parametres'!$E$7:$E$13,WEEKDAY(A231,2)),0))</f>
      </c>
      <c r="H231" s="11"/>
      <c r="I231" s="11"/>
      <c r="J231" s="11"/>
      <c r="K231" s="11"/>
      <c r="L231" s="12">
        <f>IF(OR(A231="",H231=""),"",IF(H231&lt;E231,IF(OR(J231="Oui",'00_Parametres'!$B$28="Oui"),H231,E231),H231))</f>
      </c>
      <c r="M231" s="12">
        <f>IF(OR(A231="",I231=""),"",IF(I231&gt;F231,IF(OR(K231="Oui",'00_Parametres'!$B$29="Oui"),I231,F231),I231))</f>
      </c>
      <c r="N231" s="25">
        <f>IF(OR(A231="",H231="",E231=""),0,MAX(0,ROUND((H231-E231)*1440,0)))</f>
      </c>
      <c r="O231" s="25">
        <f>IF(OR(A231="",I231="",F231=""),0,MAX(0,ROUND((F231-I231)*1440,0)))</f>
      </c>
      <c r="P231" s="12">
        <f>IF(OR(L231="",M231=""),0,MAX(0,ROUND((M231-L231)*24-G231,2)))</f>
      </c>
      <c r="Q231" s="12">
        <f>IF(P231=0,0,MIN(P231,'00_Parametres'!$B$23))</f>
      </c>
      <c r="R231" s="12">
        <f>IF(P231=0,0,MAX(0,P231-'00_Parametres'!$B$23))</f>
      </c>
      <c r="S231" s="10"/>
      <c r="T231" s="10"/>
      <c r="U231" s="10"/>
    </row>
    <row r="232" spans="1:21" x14ac:dyDescent="0.25">
      <c r="A232" s="18"/>
      <c r="B232" s="18"/>
      <c r="C232" s="9">
        <f>IF(B232="","",IFERROR(VLOOKUP(B232,'01_Employes'!$A$6:$Q$30,4,FALSE),"⚠ ID inconnu"))</f>
      </c>
      <c r="D232" s="9">
        <f>IF(A232="","",TEXT(A232,"dddd"))</f>
      </c>
      <c r="E232" s="24">
        <f>IF(A232="","",IFERROR(INDEX('00_Parametres'!$C$7:$C$13,WEEKDAY(A232,2)),""))</f>
      </c>
      <c r="F232" s="24">
        <f>IF(A232="","",IFERROR(INDEX('00_Parametres'!$D$7:$D$13,WEEKDAY(A232,2)),""))</f>
      </c>
      <c r="G232" s="24">
        <f>IF(A232="","",IFERROR(INDEX('00_Parametres'!$E$7:$E$13,WEEKDAY(A232,2)),0))</f>
      </c>
      <c r="H232" s="11"/>
      <c r="I232" s="11"/>
      <c r="J232" s="11"/>
      <c r="K232" s="11"/>
      <c r="L232" s="12">
        <f>IF(OR(A232="",H232=""),"",IF(H232&lt;E232,IF(OR(J232="Oui",'00_Parametres'!$B$28="Oui"),H232,E232),H232))</f>
      </c>
      <c r="M232" s="12">
        <f>IF(OR(A232="",I232=""),"",IF(I232&gt;F232,IF(OR(K232="Oui",'00_Parametres'!$B$29="Oui"),I232,F232),I232))</f>
      </c>
      <c r="N232" s="25">
        <f>IF(OR(A232="",H232="",E232=""),0,MAX(0,ROUND((H232-E232)*1440,0)))</f>
      </c>
      <c r="O232" s="25">
        <f>IF(OR(A232="",I232="",F232=""),0,MAX(0,ROUND((F232-I232)*1440,0)))</f>
      </c>
      <c r="P232" s="12">
        <f>IF(OR(L232="",M232=""),0,MAX(0,ROUND((M232-L232)*24-G232,2)))</f>
      </c>
      <c r="Q232" s="12">
        <f>IF(P232=0,0,MIN(P232,'00_Parametres'!$B$23))</f>
      </c>
      <c r="R232" s="12">
        <f>IF(P232=0,0,MAX(0,P232-'00_Parametres'!$B$23))</f>
      </c>
      <c r="S232" s="10"/>
      <c r="T232" s="10"/>
      <c r="U232" s="10"/>
    </row>
    <row r="233" spans="1:21" x14ac:dyDescent="0.25">
      <c r="A233" s="18"/>
      <c r="B233" s="18"/>
      <c r="C233" s="9">
        <f>IF(B233="","",IFERROR(VLOOKUP(B233,'01_Employes'!$A$6:$Q$30,4,FALSE),"⚠ ID inconnu"))</f>
      </c>
      <c r="D233" s="9">
        <f>IF(A233="","",TEXT(A233,"dddd"))</f>
      </c>
      <c r="E233" s="24">
        <f>IF(A233="","",IFERROR(INDEX('00_Parametres'!$C$7:$C$13,WEEKDAY(A233,2)),""))</f>
      </c>
      <c r="F233" s="24">
        <f>IF(A233="","",IFERROR(INDEX('00_Parametres'!$D$7:$D$13,WEEKDAY(A233,2)),""))</f>
      </c>
      <c r="G233" s="24">
        <f>IF(A233="","",IFERROR(INDEX('00_Parametres'!$E$7:$E$13,WEEKDAY(A233,2)),0))</f>
      </c>
      <c r="H233" s="11"/>
      <c r="I233" s="11"/>
      <c r="J233" s="11"/>
      <c r="K233" s="11"/>
      <c r="L233" s="12">
        <f>IF(OR(A233="",H233=""),"",IF(H233&lt;E233,IF(OR(J233="Oui",'00_Parametres'!$B$28="Oui"),H233,E233),H233))</f>
      </c>
      <c r="M233" s="12">
        <f>IF(OR(A233="",I233=""),"",IF(I233&gt;F233,IF(OR(K233="Oui",'00_Parametres'!$B$29="Oui"),I233,F233),I233))</f>
      </c>
      <c r="N233" s="25">
        <f>IF(OR(A233="",H233="",E233=""),0,MAX(0,ROUND((H233-E233)*1440,0)))</f>
      </c>
      <c r="O233" s="25">
        <f>IF(OR(A233="",I233="",F233=""),0,MAX(0,ROUND((F233-I233)*1440,0)))</f>
      </c>
      <c r="P233" s="12">
        <f>IF(OR(L233="",M233=""),0,MAX(0,ROUND((M233-L233)*24-G233,2)))</f>
      </c>
      <c r="Q233" s="12">
        <f>IF(P233=0,0,MIN(P233,'00_Parametres'!$B$23))</f>
      </c>
      <c r="R233" s="12">
        <f>IF(P233=0,0,MAX(0,P233-'00_Parametres'!$B$23))</f>
      </c>
      <c r="S233" s="10"/>
      <c r="T233" s="10"/>
      <c r="U233" s="10"/>
    </row>
    <row r="234" spans="1:21" x14ac:dyDescent="0.25">
      <c r="A234" s="18"/>
      <c r="B234" s="18"/>
      <c r="C234" s="9">
        <f>IF(B234="","",IFERROR(VLOOKUP(B234,'01_Employes'!$A$6:$Q$30,4,FALSE),"⚠ ID inconnu"))</f>
      </c>
      <c r="D234" s="9">
        <f>IF(A234="","",TEXT(A234,"dddd"))</f>
      </c>
      <c r="E234" s="24">
        <f>IF(A234="","",IFERROR(INDEX('00_Parametres'!$C$7:$C$13,WEEKDAY(A234,2)),""))</f>
      </c>
      <c r="F234" s="24">
        <f>IF(A234="","",IFERROR(INDEX('00_Parametres'!$D$7:$D$13,WEEKDAY(A234,2)),""))</f>
      </c>
      <c r="G234" s="24">
        <f>IF(A234="","",IFERROR(INDEX('00_Parametres'!$E$7:$E$13,WEEKDAY(A234,2)),0))</f>
      </c>
      <c r="H234" s="11"/>
      <c r="I234" s="11"/>
      <c r="J234" s="11"/>
      <c r="K234" s="11"/>
      <c r="L234" s="12">
        <f>IF(OR(A234="",H234=""),"",IF(H234&lt;E234,IF(OR(J234="Oui",'00_Parametres'!$B$28="Oui"),H234,E234),H234))</f>
      </c>
      <c r="M234" s="12">
        <f>IF(OR(A234="",I234=""),"",IF(I234&gt;F234,IF(OR(K234="Oui",'00_Parametres'!$B$29="Oui"),I234,F234),I234))</f>
      </c>
      <c r="N234" s="25">
        <f>IF(OR(A234="",H234="",E234=""),0,MAX(0,ROUND((H234-E234)*1440,0)))</f>
      </c>
      <c r="O234" s="25">
        <f>IF(OR(A234="",I234="",F234=""),0,MAX(0,ROUND((F234-I234)*1440,0)))</f>
      </c>
      <c r="P234" s="12">
        <f>IF(OR(L234="",M234=""),0,MAX(0,ROUND((M234-L234)*24-G234,2)))</f>
      </c>
      <c r="Q234" s="12">
        <f>IF(P234=0,0,MIN(P234,'00_Parametres'!$B$23))</f>
      </c>
      <c r="R234" s="12">
        <f>IF(P234=0,0,MAX(0,P234-'00_Parametres'!$B$23))</f>
      </c>
      <c r="S234" s="10"/>
      <c r="T234" s="10"/>
      <c r="U234" s="10"/>
    </row>
    <row r="235" spans="1:21" x14ac:dyDescent="0.25">
      <c r="A235" s="18"/>
      <c r="B235" s="18"/>
      <c r="C235" s="9">
        <f>IF(B235="","",IFERROR(VLOOKUP(B235,'01_Employes'!$A$6:$Q$30,4,FALSE),"⚠ ID inconnu"))</f>
      </c>
      <c r="D235" s="9">
        <f>IF(A235="","",TEXT(A235,"dddd"))</f>
      </c>
      <c r="E235" s="24">
        <f>IF(A235="","",IFERROR(INDEX('00_Parametres'!$C$7:$C$13,WEEKDAY(A235,2)),""))</f>
      </c>
      <c r="F235" s="24">
        <f>IF(A235="","",IFERROR(INDEX('00_Parametres'!$D$7:$D$13,WEEKDAY(A235,2)),""))</f>
      </c>
      <c r="G235" s="24">
        <f>IF(A235="","",IFERROR(INDEX('00_Parametres'!$E$7:$E$13,WEEKDAY(A235,2)),0))</f>
      </c>
      <c r="H235" s="11"/>
      <c r="I235" s="11"/>
      <c r="J235" s="11"/>
      <c r="K235" s="11"/>
      <c r="L235" s="12">
        <f>IF(OR(A235="",H235=""),"",IF(H235&lt;E235,IF(OR(J235="Oui",'00_Parametres'!$B$28="Oui"),H235,E235),H235))</f>
      </c>
      <c r="M235" s="12">
        <f>IF(OR(A235="",I235=""),"",IF(I235&gt;F235,IF(OR(K235="Oui",'00_Parametres'!$B$29="Oui"),I235,F235),I235))</f>
      </c>
      <c r="N235" s="25">
        <f>IF(OR(A235="",H235="",E235=""),0,MAX(0,ROUND((H235-E235)*1440,0)))</f>
      </c>
      <c r="O235" s="25">
        <f>IF(OR(A235="",I235="",F235=""),0,MAX(0,ROUND((F235-I235)*1440,0)))</f>
      </c>
      <c r="P235" s="12">
        <f>IF(OR(L235="",M235=""),0,MAX(0,ROUND((M235-L235)*24-G235,2)))</f>
      </c>
      <c r="Q235" s="12">
        <f>IF(P235=0,0,MIN(P235,'00_Parametres'!$B$23))</f>
      </c>
      <c r="R235" s="12">
        <f>IF(P235=0,0,MAX(0,P235-'00_Parametres'!$B$23))</f>
      </c>
      <c r="S235" s="10"/>
      <c r="T235" s="10"/>
      <c r="U235" s="10"/>
    </row>
    <row r="236" spans="1:21" x14ac:dyDescent="0.25">
      <c r="A236" s="18"/>
      <c r="B236" s="18"/>
      <c r="C236" s="9">
        <f>IF(B236="","",IFERROR(VLOOKUP(B236,'01_Employes'!$A$6:$Q$30,4,FALSE),"⚠ ID inconnu"))</f>
      </c>
      <c r="D236" s="9">
        <f>IF(A236="","",TEXT(A236,"dddd"))</f>
      </c>
      <c r="E236" s="24">
        <f>IF(A236="","",IFERROR(INDEX('00_Parametres'!$C$7:$C$13,WEEKDAY(A236,2)),""))</f>
      </c>
      <c r="F236" s="24">
        <f>IF(A236="","",IFERROR(INDEX('00_Parametres'!$D$7:$D$13,WEEKDAY(A236,2)),""))</f>
      </c>
      <c r="G236" s="24">
        <f>IF(A236="","",IFERROR(INDEX('00_Parametres'!$E$7:$E$13,WEEKDAY(A236,2)),0))</f>
      </c>
      <c r="H236" s="11"/>
      <c r="I236" s="11"/>
      <c r="J236" s="11"/>
      <c r="K236" s="11"/>
      <c r="L236" s="12">
        <f>IF(OR(A236="",H236=""),"",IF(H236&lt;E236,IF(OR(J236="Oui",'00_Parametres'!$B$28="Oui"),H236,E236),H236))</f>
      </c>
      <c r="M236" s="12">
        <f>IF(OR(A236="",I236=""),"",IF(I236&gt;F236,IF(OR(K236="Oui",'00_Parametres'!$B$29="Oui"),I236,F236),I236))</f>
      </c>
      <c r="N236" s="25">
        <f>IF(OR(A236="",H236="",E236=""),0,MAX(0,ROUND((H236-E236)*1440,0)))</f>
      </c>
      <c r="O236" s="25">
        <f>IF(OR(A236="",I236="",F236=""),0,MAX(0,ROUND((F236-I236)*1440,0)))</f>
      </c>
      <c r="P236" s="12">
        <f>IF(OR(L236="",M236=""),0,MAX(0,ROUND((M236-L236)*24-G236,2)))</f>
      </c>
      <c r="Q236" s="12">
        <f>IF(P236=0,0,MIN(P236,'00_Parametres'!$B$23))</f>
      </c>
      <c r="R236" s="12">
        <f>IF(P236=0,0,MAX(0,P236-'00_Parametres'!$B$23))</f>
      </c>
      <c r="S236" s="10"/>
      <c r="T236" s="10"/>
      <c r="U236" s="10"/>
    </row>
    <row r="237" spans="1:21" x14ac:dyDescent="0.25">
      <c r="A237" s="18"/>
      <c r="B237" s="18"/>
      <c r="C237" s="9">
        <f>IF(B237="","",IFERROR(VLOOKUP(B237,'01_Employes'!$A$6:$Q$30,4,FALSE),"⚠ ID inconnu"))</f>
      </c>
      <c r="D237" s="9">
        <f>IF(A237="","",TEXT(A237,"dddd"))</f>
      </c>
      <c r="E237" s="24">
        <f>IF(A237="","",IFERROR(INDEX('00_Parametres'!$C$7:$C$13,WEEKDAY(A237,2)),""))</f>
      </c>
      <c r="F237" s="24">
        <f>IF(A237="","",IFERROR(INDEX('00_Parametres'!$D$7:$D$13,WEEKDAY(A237,2)),""))</f>
      </c>
      <c r="G237" s="24">
        <f>IF(A237="","",IFERROR(INDEX('00_Parametres'!$E$7:$E$13,WEEKDAY(A237,2)),0))</f>
      </c>
      <c r="H237" s="11"/>
      <c r="I237" s="11"/>
      <c r="J237" s="11"/>
      <c r="K237" s="11"/>
      <c r="L237" s="12">
        <f>IF(OR(A237="",H237=""),"",IF(H237&lt;E237,IF(OR(J237="Oui",'00_Parametres'!$B$28="Oui"),H237,E237),H237))</f>
      </c>
      <c r="M237" s="12">
        <f>IF(OR(A237="",I237=""),"",IF(I237&gt;F237,IF(OR(K237="Oui",'00_Parametres'!$B$29="Oui"),I237,F237),I237))</f>
      </c>
      <c r="N237" s="25">
        <f>IF(OR(A237="",H237="",E237=""),0,MAX(0,ROUND((H237-E237)*1440,0)))</f>
      </c>
      <c r="O237" s="25">
        <f>IF(OR(A237="",I237="",F237=""),0,MAX(0,ROUND((F237-I237)*1440,0)))</f>
      </c>
      <c r="P237" s="12">
        <f>IF(OR(L237="",M237=""),0,MAX(0,ROUND((M237-L237)*24-G237,2)))</f>
      </c>
      <c r="Q237" s="12">
        <f>IF(P237=0,0,MIN(P237,'00_Parametres'!$B$23))</f>
      </c>
      <c r="R237" s="12">
        <f>IF(P237=0,0,MAX(0,P237-'00_Parametres'!$B$23))</f>
      </c>
      <c r="S237" s="10"/>
      <c r="T237" s="10"/>
      <c r="U237" s="10"/>
    </row>
    <row r="238" spans="1:21" x14ac:dyDescent="0.25">
      <c r="A238" s="18"/>
      <c r="B238" s="18"/>
      <c r="C238" s="9">
        <f>IF(B238="","",IFERROR(VLOOKUP(B238,'01_Employes'!$A$6:$Q$30,4,FALSE),"⚠ ID inconnu"))</f>
      </c>
      <c r="D238" s="9">
        <f>IF(A238="","",TEXT(A238,"dddd"))</f>
      </c>
      <c r="E238" s="24">
        <f>IF(A238="","",IFERROR(INDEX('00_Parametres'!$C$7:$C$13,WEEKDAY(A238,2)),""))</f>
      </c>
      <c r="F238" s="24">
        <f>IF(A238="","",IFERROR(INDEX('00_Parametres'!$D$7:$D$13,WEEKDAY(A238,2)),""))</f>
      </c>
      <c r="G238" s="24">
        <f>IF(A238="","",IFERROR(INDEX('00_Parametres'!$E$7:$E$13,WEEKDAY(A238,2)),0))</f>
      </c>
      <c r="H238" s="11"/>
      <c r="I238" s="11"/>
      <c r="J238" s="11"/>
      <c r="K238" s="11"/>
      <c r="L238" s="12">
        <f>IF(OR(A238="",H238=""),"",IF(H238&lt;E238,IF(OR(J238="Oui",'00_Parametres'!$B$28="Oui"),H238,E238),H238))</f>
      </c>
      <c r="M238" s="12">
        <f>IF(OR(A238="",I238=""),"",IF(I238&gt;F238,IF(OR(K238="Oui",'00_Parametres'!$B$29="Oui"),I238,F238),I238))</f>
      </c>
      <c r="N238" s="25">
        <f>IF(OR(A238="",H238="",E238=""),0,MAX(0,ROUND((H238-E238)*1440,0)))</f>
      </c>
      <c r="O238" s="25">
        <f>IF(OR(A238="",I238="",F238=""),0,MAX(0,ROUND((F238-I238)*1440,0)))</f>
      </c>
      <c r="P238" s="12">
        <f>IF(OR(L238="",M238=""),0,MAX(0,ROUND((M238-L238)*24-G238,2)))</f>
      </c>
      <c r="Q238" s="12">
        <f>IF(P238=0,0,MIN(P238,'00_Parametres'!$B$23))</f>
      </c>
      <c r="R238" s="12">
        <f>IF(P238=0,0,MAX(0,P238-'00_Parametres'!$B$23))</f>
      </c>
      <c r="S238" s="10"/>
      <c r="T238" s="10"/>
      <c r="U238" s="10"/>
    </row>
    <row r="239" spans="1:21" x14ac:dyDescent="0.25">
      <c r="A239" s="18"/>
      <c r="B239" s="18"/>
      <c r="C239" s="9">
        <f>IF(B239="","",IFERROR(VLOOKUP(B239,'01_Employes'!$A$6:$Q$30,4,FALSE),"⚠ ID inconnu"))</f>
      </c>
      <c r="D239" s="9">
        <f>IF(A239="","",TEXT(A239,"dddd"))</f>
      </c>
      <c r="E239" s="24">
        <f>IF(A239="","",IFERROR(INDEX('00_Parametres'!$C$7:$C$13,WEEKDAY(A239,2)),""))</f>
      </c>
      <c r="F239" s="24">
        <f>IF(A239="","",IFERROR(INDEX('00_Parametres'!$D$7:$D$13,WEEKDAY(A239,2)),""))</f>
      </c>
      <c r="G239" s="24">
        <f>IF(A239="","",IFERROR(INDEX('00_Parametres'!$E$7:$E$13,WEEKDAY(A239,2)),0))</f>
      </c>
      <c r="H239" s="11"/>
      <c r="I239" s="11"/>
      <c r="J239" s="11"/>
      <c r="K239" s="11"/>
      <c r="L239" s="12">
        <f>IF(OR(A239="",H239=""),"",IF(H239&lt;E239,IF(OR(J239="Oui",'00_Parametres'!$B$28="Oui"),H239,E239),H239))</f>
      </c>
      <c r="M239" s="12">
        <f>IF(OR(A239="",I239=""),"",IF(I239&gt;F239,IF(OR(K239="Oui",'00_Parametres'!$B$29="Oui"),I239,F239),I239))</f>
      </c>
      <c r="N239" s="25">
        <f>IF(OR(A239="",H239="",E239=""),0,MAX(0,ROUND((H239-E239)*1440,0)))</f>
      </c>
      <c r="O239" s="25">
        <f>IF(OR(A239="",I239="",F239=""),0,MAX(0,ROUND((F239-I239)*1440,0)))</f>
      </c>
      <c r="P239" s="12">
        <f>IF(OR(L239="",M239=""),0,MAX(0,ROUND((M239-L239)*24-G239,2)))</f>
      </c>
      <c r="Q239" s="12">
        <f>IF(P239=0,0,MIN(P239,'00_Parametres'!$B$23))</f>
      </c>
      <c r="R239" s="12">
        <f>IF(P239=0,0,MAX(0,P239-'00_Parametres'!$B$23))</f>
      </c>
      <c r="S239" s="10"/>
      <c r="T239" s="10"/>
      <c r="U239" s="10"/>
    </row>
    <row r="240" spans="1:21" x14ac:dyDescent="0.25">
      <c r="A240" s="18"/>
      <c r="B240" s="18"/>
      <c r="C240" s="9">
        <f>IF(B240="","",IFERROR(VLOOKUP(B240,'01_Employes'!$A$6:$Q$30,4,FALSE),"⚠ ID inconnu"))</f>
      </c>
      <c r="D240" s="9">
        <f>IF(A240="","",TEXT(A240,"dddd"))</f>
      </c>
      <c r="E240" s="24">
        <f>IF(A240="","",IFERROR(INDEX('00_Parametres'!$C$7:$C$13,WEEKDAY(A240,2)),""))</f>
      </c>
      <c r="F240" s="24">
        <f>IF(A240="","",IFERROR(INDEX('00_Parametres'!$D$7:$D$13,WEEKDAY(A240,2)),""))</f>
      </c>
      <c r="G240" s="24">
        <f>IF(A240="","",IFERROR(INDEX('00_Parametres'!$E$7:$E$13,WEEKDAY(A240,2)),0))</f>
      </c>
      <c r="H240" s="11"/>
      <c r="I240" s="11"/>
      <c r="J240" s="11"/>
      <c r="K240" s="11"/>
      <c r="L240" s="12">
        <f>IF(OR(A240="",H240=""),"",IF(H240&lt;E240,IF(OR(J240="Oui",'00_Parametres'!$B$28="Oui"),H240,E240),H240))</f>
      </c>
      <c r="M240" s="12">
        <f>IF(OR(A240="",I240=""),"",IF(I240&gt;F240,IF(OR(K240="Oui",'00_Parametres'!$B$29="Oui"),I240,F240),I240))</f>
      </c>
      <c r="N240" s="25">
        <f>IF(OR(A240="",H240="",E240=""),0,MAX(0,ROUND((H240-E240)*1440,0)))</f>
      </c>
      <c r="O240" s="25">
        <f>IF(OR(A240="",I240="",F240=""),0,MAX(0,ROUND((F240-I240)*1440,0)))</f>
      </c>
      <c r="P240" s="12">
        <f>IF(OR(L240="",M240=""),0,MAX(0,ROUND((M240-L240)*24-G240,2)))</f>
      </c>
      <c r="Q240" s="12">
        <f>IF(P240=0,0,MIN(P240,'00_Parametres'!$B$23))</f>
      </c>
      <c r="R240" s="12">
        <f>IF(P240=0,0,MAX(0,P240-'00_Parametres'!$B$23))</f>
      </c>
      <c r="S240" s="10"/>
      <c r="T240" s="10"/>
      <c r="U240" s="10"/>
    </row>
    <row r="241" spans="1:21" x14ac:dyDescent="0.25">
      <c r="A241" s="18"/>
      <c r="B241" s="18"/>
      <c r="C241" s="9">
        <f>IF(B241="","",IFERROR(VLOOKUP(B241,'01_Employes'!$A$6:$Q$30,4,FALSE),"⚠ ID inconnu"))</f>
      </c>
      <c r="D241" s="9">
        <f>IF(A241="","",TEXT(A241,"dddd"))</f>
      </c>
      <c r="E241" s="24">
        <f>IF(A241="","",IFERROR(INDEX('00_Parametres'!$C$7:$C$13,WEEKDAY(A241,2)),""))</f>
      </c>
      <c r="F241" s="24">
        <f>IF(A241="","",IFERROR(INDEX('00_Parametres'!$D$7:$D$13,WEEKDAY(A241,2)),""))</f>
      </c>
      <c r="G241" s="24">
        <f>IF(A241="","",IFERROR(INDEX('00_Parametres'!$E$7:$E$13,WEEKDAY(A241,2)),0))</f>
      </c>
      <c r="H241" s="11"/>
      <c r="I241" s="11"/>
      <c r="J241" s="11"/>
      <c r="K241" s="11"/>
      <c r="L241" s="12">
        <f>IF(OR(A241="",H241=""),"",IF(H241&lt;E241,IF(OR(J241="Oui",'00_Parametres'!$B$28="Oui"),H241,E241),H241))</f>
      </c>
      <c r="M241" s="12">
        <f>IF(OR(A241="",I241=""),"",IF(I241&gt;F241,IF(OR(K241="Oui",'00_Parametres'!$B$29="Oui"),I241,F241),I241))</f>
      </c>
      <c r="N241" s="25">
        <f>IF(OR(A241="",H241="",E241=""),0,MAX(0,ROUND((H241-E241)*1440,0)))</f>
      </c>
      <c r="O241" s="25">
        <f>IF(OR(A241="",I241="",F241=""),0,MAX(0,ROUND((F241-I241)*1440,0)))</f>
      </c>
      <c r="P241" s="12">
        <f>IF(OR(L241="",M241=""),0,MAX(0,ROUND((M241-L241)*24-G241,2)))</f>
      </c>
      <c r="Q241" s="12">
        <f>IF(P241=0,0,MIN(P241,'00_Parametres'!$B$23))</f>
      </c>
      <c r="R241" s="12">
        <f>IF(P241=0,0,MAX(0,P241-'00_Parametres'!$B$23))</f>
      </c>
      <c r="S241" s="10"/>
      <c r="T241" s="10"/>
      <c r="U241" s="10"/>
    </row>
    <row r="242" spans="1:21" x14ac:dyDescent="0.25">
      <c r="A242" s="18"/>
      <c r="B242" s="18"/>
      <c r="C242" s="9">
        <f>IF(B242="","",IFERROR(VLOOKUP(B242,'01_Employes'!$A$6:$Q$30,4,FALSE),"⚠ ID inconnu"))</f>
      </c>
      <c r="D242" s="9">
        <f>IF(A242="","",TEXT(A242,"dddd"))</f>
      </c>
      <c r="E242" s="24">
        <f>IF(A242="","",IFERROR(INDEX('00_Parametres'!$C$7:$C$13,WEEKDAY(A242,2)),""))</f>
      </c>
      <c r="F242" s="24">
        <f>IF(A242="","",IFERROR(INDEX('00_Parametres'!$D$7:$D$13,WEEKDAY(A242,2)),""))</f>
      </c>
      <c r="G242" s="24">
        <f>IF(A242="","",IFERROR(INDEX('00_Parametres'!$E$7:$E$13,WEEKDAY(A242,2)),0))</f>
      </c>
      <c r="H242" s="11"/>
      <c r="I242" s="11"/>
      <c r="J242" s="11"/>
      <c r="K242" s="11"/>
      <c r="L242" s="12">
        <f>IF(OR(A242="",H242=""),"",IF(H242&lt;E242,IF(OR(J242="Oui",'00_Parametres'!$B$28="Oui"),H242,E242),H242))</f>
      </c>
      <c r="M242" s="12">
        <f>IF(OR(A242="",I242=""),"",IF(I242&gt;F242,IF(OR(K242="Oui",'00_Parametres'!$B$29="Oui"),I242,F242),I242))</f>
      </c>
      <c r="N242" s="25">
        <f>IF(OR(A242="",H242="",E242=""),0,MAX(0,ROUND((H242-E242)*1440,0)))</f>
      </c>
      <c r="O242" s="25">
        <f>IF(OR(A242="",I242="",F242=""),0,MAX(0,ROUND((F242-I242)*1440,0)))</f>
      </c>
      <c r="P242" s="12">
        <f>IF(OR(L242="",M242=""),0,MAX(0,ROUND((M242-L242)*24-G242,2)))</f>
      </c>
      <c r="Q242" s="12">
        <f>IF(P242=0,0,MIN(P242,'00_Parametres'!$B$23))</f>
      </c>
      <c r="R242" s="12">
        <f>IF(P242=0,0,MAX(0,P242-'00_Parametres'!$B$23))</f>
      </c>
      <c r="S242" s="10"/>
      <c r="T242" s="10"/>
      <c r="U242" s="10"/>
    </row>
    <row r="243" spans="1:21" x14ac:dyDescent="0.25">
      <c r="A243" s="18"/>
      <c r="B243" s="18"/>
      <c r="C243" s="9">
        <f>IF(B243="","",IFERROR(VLOOKUP(B243,'01_Employes'!$A$6:$Q$30,4,FALSE),"⚠ ID inconnu"))</f>
      </c>
      <c r="D243" s="9">
        <f>IF(A243="","",TEXT(A243,"dddd"))</f>
      </c>
      <c r="E243" s="24">
        <f>IF(A243="","",IFERROR(INDEX('00_Parametres'!$C$7:$C$13,WEEKDAY(A243,2)),""))</f>
      </c>
      <c r="F243" s="24">
        <f>IF(A243="","",IFERROR(INDEX('00_Parametres'!$D$7:$D$13,WEEKDAY(A243,2)),""))</f>
      </c>
      <c r="G243" s="24">
        <f>IF(A243="","",IFERROR(INDEX('00_Parametres'!$E$7:$E$13,WEEKDAY(A243,2)),0))</f>
      </c>
      <c r="H243" s="11"/>
      <c r="I243" s="11"/>
      <c r="J243" s="11"/>
      <c r="K243" s="11"/>
      <c r="L243" s="12">
        <f>IF(OR(A243="",H243=""),"",IF(H243&lt;E243,IF(OR(J243="Oui",'00_Parametres'!$B$28="Oui"),H243,E243),H243))</f>
      </c>
      <c r="M243" s="12">
        <f>IF(OR(A243="",I243=""),"",IF(I243&gt;F243,IF(OR(K243="Oui",'00_Parametres'!$B$29="Oui"),I243,F243),I243))</f>
      </c>
      <c r="N243" s="25">
        <f>IF(OR(A243="",H243="",E243=""),0,MAX(0,ROUND((H243-E243)*1440,0)))</f>
      </c>
      <c r="O243" s="25">
        <f>IF(OR(A243="",I243="",F243=""),0,MAX(0,ROUND((F243-I243)*1440,0)))</f>
      </c>
      <c r="P243" s="12">
        <f>IF(OR(L243="",M243=""),0,MAX(0,ROUND((M243-L243)*24-G243,2)))</f>
      </c>
      <c r="Q243" s="12">
        <f>IF(P243=0,0,MIN(P243,'00_Parametres'!$B$23))</f>
      </c>
      <c r="R243" s="12">
        <f>IF(P243=0,0,MAX(0,P243-'00_Parametres'!$B$23))</f>
      </c>
      <c r="S243" s="10"/>
      <c r="T243" s="10"/>
      <c r="U243" s="10"/>
    </row>
    <row r="244" spans="1:21" x14ac:dyDescent="0.25">
      <c r="A244" s="18"/>
      <c r="B244" s="18"/>
      <c r="C244" s="9">
        <f>IF(B244="","",IFERROR(VLOOKUP(B244,'01_Employes'!$A$6:$Q$30,4,FALSE),"⚠ ID inconnu"))</f>
      </c>
      <c r="D244" s="9">
        <f>IF(A244="","",TEXT(A244,"dddd"))</f>
      </c>
      <c r="E244" s="24">
        <f>IF(A244="","",IFERROR(INDEX('00_Parametres'!$C$7:$C$13,WEEKDAY(A244,2)),""))</f>
      </c>
      <c r="F244" s="24">
        <f>IF(A244="","",IFERROR(INDEX('00_Parametres'!$D$7:$D$13,WEEKDAY(A244,2)),""))</f>
      </c>
      <c r="G244" s="24">
        <f>IF(A244="","",IFERROR(INDEX('00_Parametres'!$E$7:$E$13,WEEKDAY(A244,2)),0))</f>
      </c>
      <c r="H244" s="11"/>
      <c r="I244" s="11"/>
      <c r="J244" s="11"/>
      <c r="K244" s="11"/>
      <c r="L244" s="12">
        <f>IF(OR(A244="",H244=""),"",IF(H244&lt;E244,IF(OR(J244="Oui",'00_Parametres'!$B$28="Oui"),H244,E244),H244))</f>
      </c>
      <c r="M244" s="12">
        <f>IF(OR(A244="",I244=""),"",IF(I244&gt;F244,IF(OR(K244="Oui",'00_Parametres'!$B$29="Oui"),I244,F244),I244))</f>
      </c>
      <c r="N244" s="25">
        <f>IF(OR(A244="",H244="",E244=""),0,MAX(0,ROUND((H244-E244)*1440,0)))</f>
      </c>
      <c r="O244" s="25">
        <f>IF(OR(A244="",I244="",F244=""),0,MAX(0,ROUND((F244-I244)*1440,0)))</f>
      </c>
      <c r="P244" s="12">
        <f>IF(OR(L244="",M244=""),0,MAX(0,ROUND((M244-L244)*24-G244,2)))</f>
      </c>
      <c r="Q244" s="12">
        <f>IF(P244=0,0,MIN(P244,'00_Parametres'!$B$23))</f>
      </c>
      <c r="R244" s="12">
        <f>IF(P244=0,0,MAX(0,P244-'00_Parametres'!$B$23))</f>
      </c>
      <c r="S244" s="10"/>
      <c r="T244" s="10"/>
      <c r="U244" s="10"/>
    </row>
    <row r="245" spans="1:21" x14ac:dyDescent="0.25">
      <c r="A245" s="18"/>
      <c r="B245" s="18"/>
      <c r="C245" s="9">
        <f>IF(B245="","",IFERROR(VLOOKUP(B245,'01_Employes'!$A$6:$Q$30,4,FALSE),"⚠ ID inconnu"))</f>
      </c>
      <c r="D245" s="9">
        <f>IF(A245="","",TEXT(A245,"dddd"))</f>
      </c>
      <c r="E245" s="24">
        <f>IF(A245="","",IFERROR(INDEX('00_Parametres'!$C$7:$C$13,WEEKDAY(A245,2)),""))</f>
      </c>
      <c r="F245" s="24">
        <f>IF(A245="","",IFERROR(INDEX('00_Parametres'!$D$7:$D$13,WEEKDAY(A245,2)),""))</f>
      </c>
      <c r="G245" s="24">
        <f>IF(A245="","",IFERROR(INDEX('00_Parametres'!$E$7:$E$13,WEEKDAY(A245,2)),0))</f>
      </c>
      <c r="H245" s="11"/>
      <c r="I245" s="11"/>
      <c r="J245" s="11"/>
      <c r="K245" s="11"/>
      <c r="L245" s="12">
        <f>IF(OR(A245="",H245=""),"",IF(H245&lt;E245,IF(OR(J245="Oui",'00_Parametres'!$B$28="Oui"),H245,E245),H245))</f>
      </c>
      <c r="M245" s="12">
        <f>IF(OR(A245="",I245=""),"",IF(I245&gt;F245,IF(OR(K245="Oui",'00_Parametres'!$B$29="Oui"),I245,F245),I245))</f>
      </c>
      <c r="N245" s="25">
        <f>IF(OR(A245="",H245="",E245=""),0,MAX(0,ROUND((H245-E245)*1440,0)))</f>
      </c>
      <c r="O245" s="25">
        <f>IF(OR(A245="",I245="",F245=""),0,MAX(0,ROUND((F245-I245)*1440,0)))</f>
      </c>
      <c r="P245" s="12">
        <f>IF(OR(L245="",M245=""),0,MAX(0,ROUND((M245-L245)*24-G245,2)))</f>
      </c>
      <c r="Q245" s="12">
        <f>IF(P245=0,0,MIN(P245,'00_Parametres'!$B$23))</f>
      </c>
      <c r="R245" s="12">
        <f>IF(P245=0,0,MAX(0,P245-'00_Parametres'!$B$23))</f>
      </c>
      <c r="S245" s="10"/>
      <c r="T245" s="10"/>
      <c r="U245" s="10"/>
    </row>
    <row r="246" spans="1:21" x14ac:dyDescent="0.25">
      <c r="A246" s="18"/>
      <c r="B246" s="18"/>
      <c r="C246" s="9">
        <f>IF(B246="","",IFERROR(VLOOKUP(B246,'01_Employes'!$A$6:$Q$30,4,FALSE),"⚠ ID inconnu"))</f>
      </c>
      <c r="D246" s="9">
        <f>IF(A246="","",TEXT(A246,"dddd"))</f>
      </c>
      <c r="E246" s="24">
        <f>IF(A246="","",IFERROR(INDEX('00_Parametres'!$C$7:$C$13,WEEKDAY(A246,2)),""))</f>
      </c>
      <c r="F246" s="24">
        <f>IF(A246="","",IFERROR(INDEX('00_Parametres'!$D$7:$D$13,WEEKDAY(A246,2)),""))</f>
      </c>
      <c r="G246" s="24">
        <f>IF(A246="","",IFERROR(INDEX('00_Parametres'!$E$7:$E$13,WEEKDAY(A246,2)),0))</f>
      </c>
      <c r="H246" s="11"/>
      <c r="I246" s="11"/>
      <c r="J246" s="11"/>
      <c r="K246" s="11"/>
      <c r="L246" s="12">
        <f>IF(OR(A246="",H246=""),"",IF(H246&lt;E246,IF(OR(J246="Oui",'00_Parametres'!$B$28="Oui"),H246,E246),H246))</f>
      </c>
      <c r="M246" s="12">
        <f>IF(OR(A246="",I246=""),"",IF(I246&gt;F246,IF(OR(K246="Oui",'00_Parametres'!$B$29="Oui"),I246,F246),I246))</f>
      </c>
      <c r="N246" s="25">
        <f>IF(OR(A246="",H246="",E246=""),0,MAX(0,ROUND((H246-E246)*1440,0)))</f>
      </c>
      <c r="O246" s="25">
        <f>IF(OR(A246="",I246="",F246=""),0,MAX(0,ROUND((F246-I246)*1440,0)))</f>
      </c>
      <c r="P246" s="12">
        <f>IF(OR(L246="",M246=""),0,MAX(0,ROUND((M246-L246)*24-G246,2)))</f>
      </c>
      <c r="Q246" s="12">
        <f>IF(P246=0,0,MIN(P246,'00_Parametres'!$B$23))</f>
      </c>
      <c r="R246" s="12">
        <f>IF(P246=0,0,MAX(0,P246-'00_Parametres'!$B$23))</f>
      </c>
      <c r="S246" s="10"/>
      <c r="T246" s="10"/>
      <c r="U246" s="10"/>
    </row>
    <row r="247" spans="1:21" x14ac:dyDescent="0.25">
      <c r="A247" s="18"/>
      <c r="B247" s="18"/>
      <c r="C247" s="9">
        <f>IF(B247="","",IFERROR(VLOOKUP(B247,'01_Employes'!$A$6:$Q$30,4,FALSE),"⚠ ID inconnu"))</f>
      </c>
      <c r="D247" s="9">
        <f>IF(A247="","",TEXT(A247,"dddd"))</f>
      </c>
      <c r="E247" s="24">
        <f>IF(A247="","",IFERROR(INDEX('00_Parametres'!$C$7:$C$13,WEEKDAY(A247,2)),""))</f>
      </c>
      <c r="F247" s="24">
        <f>IF(A247="","",IFERROR(INDEX('00_Parametres'!$D$7:$D$13,WEEKDAY(A247,2)),""))</f>
      </c>
      <c r="G247" s="24">
        <f>IF(A247="","",IFERROR(INDEX('00_Parametres'!$E$7:$E$13,WEEKDAY(A247,2)),0))</f>
      </c>
      <c r="H247" s="11"/>
      <c r="I247" s="11"/>
      <c r="J247" s="11"/>
      <c r="K247" s="11"/>
      <c r="L247" s="12">
        <f>IF(OR(A247="",H247=""),"",IF(H247&lt;E247,IF(OR(J247="Oui",'00_Parametres'!$B$28="Oui"),H247,E247),H247))</f>
      </c>
      <c r="M247" s="12">
        <f>IF(OR(A247="",I247=""),"",IF(I247&gt;F247,IF(OR(K247="Oui",'00_Parametres'!$B$29="Oui"),I247,F247),I247))</f>
      </c>
      <c r="N247" s="25">
        <f>IF(OR(A247="",H247="",E247=""),0,MAX(0,ROUND((H247-E247)*1440,0)))</f>
      </c>
      <c r="O247" s="25">
        <f>IF(OR(A247="",I247="",F247=""),0,MAX(0,ROUND((F247-I247)*1440,0)))</f>
      </c>
      <c r="P247" s="12">
        <f>IF(OR(L247="",M247=""),0,MAX(0,ROUND((M247-L247)*24-G247,2)))</f>
      </c>
      <c r="Q247" s="12">
        <f>IF(P247=0,0,MIN(P247,'00_Parametres'!$B$23))</f>
      </c>
      <c r="R247" s="12">
        <f>IF(P247=0,0,MAX(0,P247-'00_Parametres'!$B$23))</f>
      </c>
      <c r="S247" s="10"/>
      <c r="T247" s="10"/>
      <c r="U247" s="10"/>
    </row>
    <row r="248" spans="1:21" x14ac:dyDescent="0.25">
      <c r="A248" s="18"/>
      <c r="B248" s="18"/>
      <c r="C248" s="9">
        <f>IF(B248="","",IFERROR(VLOOKUP(B248,'01_Employes'!$A$6:$Q$30,4,FALSE),"⚠ ID inconnu"))</f>
      </c>
      <c r="D248" s="9">
        <f>IF(A248="","",TEXT(A248,"dddd"))</f>
      </c>
      <c r="E248" s="24">
        <f>IF(A248="","",IFERROR(INDEX('00_Parametres'!$C$7:$C$13,WEEKDAY(A248,2)),""))</f>
      </c>
      <c r="F248" s="24">
        <f>IF(A248="","",IFERROR(INDEX('00_Parametres'!$D$7:$D$13,WEEKDAY(A248,2)),""))</f>
      </c>
      <c r="G248" s="24">
        <f>IF(A248="","",IFERROR(INDEX('00_Parametres'!$E$7:$E$13,WEEKDAY(A248,2)),0))</f>
      </c>
      <c r="H248" s="11"/>
      <c r="I248" s="11"/>
      <c r="J248" s="11"/>
      <c r="K248" s="11"/>
      <c r="L248" s="12">
        <f>IF(OR(A248="",H248=""),"",IF(H248&lt;E248,IF(OR(J248="Oui",'00_Parametres'!$B$28="Oui"),H248,E248),H248))</f>
      </c>
      <c r="M248" s="12">
        <f>IF(OR(A248="",I248=""),"",IF(I248&gt;F248,IF(OR(K248="Oui",'00_Parametres'!$B$29="Oui"),I248,F248),I248))</f>
      </c>
      <c r="N248" s="25">
        <f>IF(OR(A248="",H248="",E248=""),0,MAX(0,ROUND((H248-E248)*1440,0)))</f>
      </c>
      <c r="O248" s="25">
        <f>IF(OR(A248="",I248="",F248=""),0,MAX(0,ROUND((F248-I248)*1440,0)))</f>
      </c>
      <c r="P248" s="12">
        <f>IF(OR(L248="",M248=""),0,MAX(0,ROUND((M248-L248)*24-G248,2)))</f>
      </c>
      <c r="Q248" s="12">
        <f>IF(P248=0,0,MIN(P248,'00_Parametres'!$B$23))</f>
      </c>
      <c r="R248" s="12">
        <f>IF(P248=0,0,MAX(0,P248-'00_Parametres'!$B$23))</f>
      </c>
      <c r="S248" s="10"/>
      <c r="T248" s="10"/>
      <c r="U248" s="10"/>
    </row>
    <row r="249" spans="1:21" x14ac:dyDescent="0.25">
      <c r="A249" s="18"/>
      <c r="B249" s="18"/>
      <c r="C249" s="9">
        <f>IF(B249="","",IFERROR(VLOOKUP(B249,'01_Employes'!$A$6:$Q$30,4,FALSE),"⚠ ID inconnu"))</f>
      </c>
      <c r="D249" s="9">
        <f>IF(A249="","",TEXT(A249,"dddd"))</f>
      </c>
      <c r="E249" s="24">
        <f>IF(A249="","",IFERROR(INDEX('00_Parametres'!$C$7:$C$13,WEEKDAY(A249,2)),""))</f>
      </c>
      <c r="F249" s="24">
        <f>IF(A249="","",IFERROR(INDEX('00_Parametres'!$D$7:$D$13,WEEKDAY(A249,2)),""))</f>
      </c>
      <c r="G249" s="24">
        <f>IF(A249="","",IFERROR(INDEX('00_Parametres'!$E$7:$E$13,WEEKDAY(A249,2)),0))</f>
      </c>
      <c r="H249" s="11"/>
      <c r="I249" s="11"/>
      <c r="J249" s="11"/>
      <c r="K249" s="11"/>
      <c r="L249" s="12">
        <f>IF(OR(A249="",H249=""),"",IF(H249&lt;E249,IF(OR(J249="Oui",'00_Parametres'!$B$28="Oui"),H249,E249),H249))</f>
      </c>
      <c r="M249" s="12">
        <f>IF(OR(A249="",I249=""),"",IF(I249&gt;F249,IF(OR(K249="Oui",'00_Parametres'!$B$29="Oui"),I249,F249),I249))</f>
      </c>
      <c r="N249" s="25">
        <f>IF(OR(A249="",H249="",E249=""),0,MAX(0,ROUND((H249-E249)*1440,0)))</f>
      </c>
      <c r="O249" s="25">
        <f>IF(OR(A249="",I249="",F249=""),0,MAX(0,ROUND((F249-I249)*1440,0)))</f>
      </c>
      <c r="P249" s="12">
        <f>IF(OR(L249="",M249=""),0,MAX(0,ROUND((M249-L249)*24-G249,2)))</f>
      </c>
      <c r="Q249" s="12">
        <f>IF(P249=0,0,MIN(P249,'00_Parametres'!$B$23))</f>
      </c>
      <c r="R249" s="12">
        <f>IF(P249=0,0,MAX(0,P249-'00_Parametres'!$B$23))</f>
      </c>
      <c r="S249" s="10"/>
      <c r="T249" s="10"/>
      <c r="U249" s="10"/>
    </row>
    <row r="250" spans="1:21" x14ac:dyDescent="0.25">
      <c r="A250" s="18"/>
      <c r="B250" s="18"/>
      <c r="C250" s="9">
        <f>IF(B250="","",IFERROR(VLOOKUP(B250,'01_Employes'!$A$6:$Q$30,4,FALSE),"⚠ ID inconnu"))</f>
      </c>
      <c r="D250" s="9">
        <f>IF(A250="","",TEXT(A250,"dddd"))</f>
      </c>
      <c r="E250" s="24">
        <f>IF(A250="","",IFERROR(INDEX('00_Parametres'!$C$7:$C$13,WEEKDAY(A250,2)),""))</f>
      </c>
      <c r="F250" s="24">
        <f>IF(A250="","",IFERROR(INDEX('00_Parametres'!$D$7:$D$13,WEEKDAY(A250,2)),""))</f>
      </c>
      <c r="G250" s="24">
        <f>IF(A250="","",IFERROR(INDEX('00_Parametres'!$E$7:$E$13,WEEKDAY(A250,2)),0))</f>
      </c>
      <c r="H250" s="11"/>
      <c r="I250" s="11"/>
      <c r="J250" s="11"/>
      <c r="K250" s="11"/>
      <c r="L250" s="12">
        <f>IF(OR(A250="",H250=""),"",IF(H250&lt;E250,IF(OR(J250="Oui",'00_Parametres'!$B$28="Oui"),H250,E250),H250))</f>
      </c>
      <c r="M250" s="12">
        <f>IF(OR(A250="",I250=""),"",IF(I250&gt;F250,IF(OR(K250="Oui",'00_Parametres'!$B$29="Oui"),I250,F250),I250))</f>
      </c>
      <c r="N250" s="25">
        <f>IF(OR(A250="",H250="",E250=""),0,MAX(0,ROUND((H250-E250)*1440,0)))</f>
      </c>
      <c r="O250" s="25">
        <f>IF(OR(A250="",I250="",F250=""),0,MAX(0,ROUND((F250-I250)*1440,0)))</f>
      </c>
      <c r="P250" s="12">
        <f>IF(OR(L250="",M250=""),0,MAX(0,ROUND((M250-L250)*24-G250,2)))</f>
      </c>
      <c r="Q250" s="12">
        <f>IF(P250=0,0,MIN(P250,'00_Parametres'!$B$23))</f>
      </c>
      <c r="R250" s="12">
        <f>IF(P250=0,0,MAX(0,P250-'00_Parametres'!$B$23))</f>
      </c>
      <c r="S250" s="10"/>
      <c r="T250" s="10"/>
      <c r="U250" s="10"/>
    </row>
    <row r="251" spans="1:21" x14ac:dyDescent="0.25">
      <c r="A251" s="18"/>
      <c r="B251" s="18"/>
      <c r="C251" s="9">
        <f>IF(B251="","",IFERROR(VLOOKUP(B251,'01_Employes'!$A$6:$Q$30,4,FALSE),"⚠ ID inconnu"))</f>
      </c>
      <c r="D251" s="9">
        <f>IF(A251="","",TEXT(A251,"dddd"))</f>
      </c>
      <c r="E251" s="24">
        <f>IF(A251="","",IFERROR(INDEX('00_Parametres'!$C$7:$C$13,WEEKDAY(A251,2)),""))</f>
      </c>
      <c r="F251" s="24">
        <f>IF(A251="","",IFERROR(INDEX('00_Parametres'!$D$7:$D$13,WEEKDAY(A251,2)),""))</f>
      </c>
      <c r="G251" s="24">
        <f>IF(A251="","",IFERROR(INDEX('00_Parametres'!$E$7:$E$13,WEEKDAY(A251,2)),0))</f>
      </c>
      <c r="H251" s="11"/>
      <c r="I251" s="11"/>
      <c r="J251" s="11"/>
      <c r="K251" s="11"/>
      <c r="L251" s="12">
        <f>IF(OR(A251="",H251=""),"",IF(H251&lt;E251,IF(OR(J251="Oui",'00_Parametres'!$B$28="Oui"),H251,E251),H251))</f>
      </c>
      <c r="M251" s="12">
        <f>IF(OR(A251="",I251=""),"",IF(I251&gt;F251,IF(OR(K251="Oui",'00_Parametres'!$B$29="Oui"),I251,F251),I251))</f>
      </c>
      <c r="N251" s="25">
        <f>IF(OR(A251="",H251="",E251=""),0,MAX(0,ROUND((H251-E251)*1440,0)))</f>
      </c>
      <c r="O251" s="25">
        <f>IF(OR(A251="",I251="",F251=""),0,MAX(0,ROUND((F251-I251)*1440,0)))</f>
      </c>
      <c r="P251" s="12">
        <f>IF(OR(L251="",M251=""),0,MAX(0,ROUND((M251-L251)*24-G251,2)))</f>
      </c>
      <c r="Q251" s="12">
        <f>IF(P251=0,0,MIN(P251,'00_Parametres'!$B$23))</f>
      </c>
      <c r="R251" s="12">
        <f>IF(P251=0,0,MAX(0,P251-'00_Parametres'!$B$23))</f>
      </c>
      <c r="S251" s="10"/>
      <c r="T251" s="10"/>
      <c r="U251" s="10"/>
    </row>
    <row r="252" spans="1:21" x14ac:dyDescent="0.25">
      <c r="A252" s="18"/>
      <c r="B252" s="18"/>
      <c r="C252" s="9">
        <f>IF(B252="","",IFERROR(VLOOKUP(B252,'01_Employes'!$A$6:$Q$30,4,FALSE),"⚠ ID inconnu"))</f>
      </c>
      <c r="D252" s="9">
        <f>IF(A252="","",TEXT(A252,"dddd"))</f>
      </c>
      <c r="E252" s="24">
        <f>IF(A252="","",IFERROR(INDEX('00_Parametres'!$C$7:$C$13,WEEKDAY(A252,2)),""))</f>
      </c>
      <c r="F252" s="24">
        <f>IF(A252="","",IFERROR(INDEX('00_Parametres'!$D$7:$D$13,WEEKDAY(A252,2)),""))</f>
      </c>
      <c r="G252" s="24">
        <f>IF(A252="","",IFERROR(INDEX('00_Parametres'!$E$7:$E$13,WEEKDAY(A252,2)),0))</f>
      </c>
      <c r="H252" s="11"/>
      <c r="I252" s="11"/>
      <c r="J252" s="11"/>
      <c r="K252" s="11"/>
      <c r="L252" s="12">
        <f>IF(OR(A252="",H252=""),"",IF(H252&lt;E252,IF(OR(J252="Oui",'00_Parametres'!$B$28="Oui"),H252,E252),H252))</f>
      </c>
      <c r="M252" s="12">
        <f>IF(OR(A252="",I252=""),"",IF(I252&gt;F252,IF(OR(K252="Oui",'00_Parametres'!$B$29="Oui"),I252,F252),I252))</f>
      </c>
      <c r="N252" s="25">
        <f>IF(OR(A252="",H252="",E252=""),0,MAX(0,ROUND((H252-E252)*1440,0)))</f>
      </c>
      <c r="O252" s="25">
        <f>IF(OR(A252="",I252="",F252=""),0,MAX(0,ROUND((F252-I252)*1440,0)))</f>
      </c>
      <c r="P252" s="12">
        <f>IF(OR(L252="",M252=""),0,MAX(0,ROUND((M252-L252)*24-G252,2)))</f>
      </c>
      <c r="Q252" s="12">
        <f>IF(P252=0,0,MIN(P252,'00_Parametres'!$B$23))</f>
      </c>
      <c r="R252" s="12">
        <f>IF(P252=0,0,MAX(0,P252-'00_Parametres'!$B$23))</f>
      </c>
      <c r="S252" s="10"/>
      <c r="T252" s="10"/>
      <c r="U252" s="10"/>
    </row>
    <row r="253" spans="1:21" x14ac:dyDescent="0.25">
      <c r="A253" s="18"/>
      <c r="B253" s="18"/>
      <c r="C253" s="9">
        <f>IF(B253="","",IFERROR(VLOOKUP(B253,'01_Employes'!$A$6:$Q$30,4,FALSE),"⚠ ID inconnu"))</f>
      </c>
      <c r="D253" s="9">
        <f>IF(A253="","",TEXT(A253,"dddd"))</f>
      </c>
      <c r="E253" s="24">
        <f>IF(A253="","",IFERROR(INDEX('00_Parametres'!$C$7:$C$13,WEEKDAY(A253,2)),""))</f>
      </c>
      <c r="F253" s="24">
        <f>IF(A253="","",IFERROR(INDEX('00_Parametres'!$D$7:$D$13,WEEKDAY(A253,2)),""))</f>
      </c>
      <c r="G253" s="24">
        <f>IF(A253="","",IFERROR(INDEX('00_Parametres'!$E$7:$E$13,WEEKDAY(A253,2)),0))</f>
      </c>
      <c r="H253" s="11"/>
      <c r="I253" s="11"/>
      <c r="J253" s="11"/>
      <c r="K253" s="11"/>
      <c r="L253" s="12">
        <f>IF(OR(A253="",H253=""),"",IF(H253&lt;E253,IF(OR(J253="Oui",'00_Parametres'!$B$28="Oui"),H253,E253),H253))</f>
      </c>
      <c r="M253" s="12">
        <f>IF(OR(A253="",I253=""),"",IF(I253&gt;F253,IF(OR(K253="Oui",'00_Parametres'!$B$29="Oui"),I253,F253),I253))</f>
      </c>
      <c r="N253" s="25">
        <f>IF(OR(A253="",H253="",E253=""),0,MAX(0,ROUND((H253-E253)*1440,0)))</f>
      </c>
      <c r="O253" s="25">
        <f>IF(OR(A253="",I253="",F253=""),0,MAX(0,ROUND((F253-I253)*1440,0)))</f>
      </c>
      <c r="P253" s="12">
        <f>IF(OR(L253="",M253=""),0,MAX(0,ROUND((M253-L253)*24-G253,2)))</f>
      </c>
      <c r="Q253" s="12">
        <f>IF(P253=0,0,MIN(P253,'00_Parametres'!$B$23))</f>
      </c>
      <c r="R253" s="12">
        <f>IF(P253=0,0,MAX(0,P253-'00_Parametres'!$B$23))</f>
      </c>
      <c r="S253" s="10"/>
      <c r="T253" s="10"/>
      <c r="U253" s="10"/>
    </row>
    <row r="254" spans="1:21" x14ac:dyDescent="0.25">
      <c r="A254" s="18"/>
      <c r="B254" s="18"/>
      <c r="C254" s="9">
        <f>IF(B254="","",IFERROR(VLOOKUP(B254,'01_Employes'!$A$6:$Q$30,4,FALSE),"⚠ ID inconnu"))</f>
      </c>
      <c r="D254" s="9">
        <f>IF(A254="","",TEXT(A254,"dddd"))</f>
      </c>
      <c r="E254" s="24">
        <f>IF(A254="","",IFERROR(INDEX('00_Parametres'!$C$7:$C$13,WEEKDAY(A254,2)),""))</f>
      </c>
      <c r="F254" s="24">
        <f>IF(A254="","",IFERROR(INDEX('00_Parametres'!$D$7:$D$13,WEEKDAY(A254,2)),""))</f>
      </c>
      <c r="G254" s="24">
        <f>IF(A254="","",IFERROR(INDEX('00_Parametres'!$E$7:$E$13,WEEKDAY(A254,2)),0))</f>
      </c>
      <c r="H254" s="11"/>
      <c r="I254" s="11"/>
      <c r="J254" s="11"/>
      <c r="K254" s="11"/>
      <c r="L254" s="12">
        <f>IF(OR(A254="",H254=""),"",IF(H254&lt;E254,IF(OR(J254="Oui",'00_Parametres'!$B$28="Oui"),H254,E254),H254))</f>
      </c>
      <c r="M254" s="12">
        <f>IF(OR(A254="",I254=""),"",IF(I254&gt;F254,IF(OR(K254="Oui",'00_Parametres'!$B$29="Oui"),I254,F254),I254))</f>
      </c>
      <c r="N254" s="25">
        <f>IF(OR(A254="",H254="",E254=""),0,MAX(0,ROUND((H254-E254)*1440,0)))</f>
      </c>
      <c r="O254" s="25">
        <f>IF(OR(A254="",I254="",F254=""),0,MAX(0,ROUND((F254-I254)*1440,0)))</f>
      </c>
      <c r="P254" s="12">
        <f>IF(OR(L254="",M254=""),0,MAX(0,ROUND((M254-L254)*24-G254,2)))</f>
      </c>
      <c r="Q254" s="12">
        <f>IF(P254=0,0,MIN(P254,'00_Parametres'!$B$23))</f>
      </c>
      <c r="R254" s="12">
        <f>IF(P254=0,0,MAX(0,P254-'00_Parametres'!$B$23))</f>
      </c>
      <c r="S254" s="10"/>
      <c r="T254" s="10"/>
      <c r="U254" s="10"/>
    </row>
    <row r="255" spans="1:21" x14ac:dyDescent="0.25">
      <c r="A255" s="18"/>
      <c r="B255" s="18"/>
      <c r="C255" s="9">
        <f>IF(B255="","",IFERROR(VLOOKUP(B255,'01_Employes'!$A$6:$Q$30,4,FALSE),"⚠ ID inconnu"))</f>
      </c>
      <c r="D255" s="9">
        <f>IF(A255="","",TEXT(A255,"dddd"))</f>
      </c>
      <c r="E255" s="24">
        <f>IF(A255="","",IFERROR(INDEX('00_Parametres'!$C$7:$C$13,WEEKDAY(A255,2)),""))</f>
      </c>
      <c r="F255" s="24">
        <f>IF(A255="","",IFERROR(INDEX('00_Parametres'!$D$7:$D$13,WEEKDAY(A255,2)),""))</f>
      </c>
      <c r="G255" s="24">
        <f>IF(A255="","",IFERROR(INDEX('00_Parametres'!$E$7:$E$13,WEEKDAY(A255,2)),0))</f>
      </c>
      <c r="H255" s="11"/>
      <c r="I255" s="11"/>
      <c r="J255" s="11"/>
      <c r="K255" s="11"/>
      <c r="L255" s="12">
        <f>IF(OR(A255="",H255=""),"",IF(H255&lt;E255,IF(OR(J255="Oui",'00_Parametres'!$B$28="Oui"),H255,E255),H255))</f>
      </c>
      <c r="M255" s="12">
        <f>IF(OR(A255="",I255=""),"",IF(I255&gt;F255,IF(OR(K255="Oui",'00_Parametres'!$B$29="Oui"),I255,F255),I255))</f>
      </c>
      <c r="N255" s="25">
        <f>IF(OR(A255="",H255="",E255=""),0,MAX(0,ROUND((H255-E255)*1440,0)))</f>
      </c>
      <c r="O255" s="25">
        <f>IF(OR(A255="",I255="",F255=""),0,MAX(0,ROUND((F255-I255)*1440,0)))</f>
      </c>
      <c r="P255" s="12">
        <f>IF(OR(L255="",M255=""),0,MAX(0,ROUND((M255-L255)*24-G255,2)))</f>
      </c>
      <c r="Q255" s="12">
        <f>IF(P255=0,0,MIN(P255,'00_Parametres'!$B$23))</f>
      </c>
      <c r="R255" s="12">
        <f>IF(P255=0,0,MAX(0,P255-'00_Parametres'!$B$23))</f>
      </c>
      <c r="S255" s="10"/>
      <c r="T255" s="10"/>
      <c r="U255" s="10"/>
    </row>
    <row r="256" spans="1:21" x14ac:dyDescent="0.25">
      <c r="A256" s="18"/>
      <c r="B256" s="18"/>
      <c r="C256" s="9">
        <f>IF(B256="","",IFERROR(VLOOKUP(B256,'01_Employes'!$A$6:$Q$30,4,FALSE),"⚠ ID inconnu"))</f>
      </c>
      <c r="D256" s="9">
        <f>IF(A256="","",TEXT(A256,"dddd"))</f>
      </c>
      <c r="E256" s="24">
        <f>IF(A256="","",IFERROR(INDEX('00_Parametres'!$C$7:$C$13,WEEKDAY(A256,2)),""))</f>
      </c>
      <c r="F256" s="24">
        <f>IF(A256="","",IFERROR(INDEX('00_Parametres'!$D$7:$D$13,WEEKDAY(A256,2)),""))</f>
      </c>
      <c r="G256" s="24">
        <f>IF(A256="","",IFERROR(INDEX('00_Parametres'!$E$7:$E$13,WEEKDAY(A256,2)),0))</f>
      </c>
      <c r="H256" s="11"/>
      <c r="I256" s="11"/>
      <c r="J256" s="11"/>
      <c r="K256" s="11"/>
      <c r="L256" s="12">
        <f>IF(OR(A256="",H256=""),"",IF(H256&lt;E256,IF(OR(J256="Oui",'00_Parametres'!$B$28="Oui"),H256,E256),H256))</f>
      </c>
      <c r="M256" s="12">
        <f>IF(OR(A256="",I256=""),"",IF(I256&gt;F256,IF(OR(K256="Oui",'00_Parametres'!$B$29="Oui"),I256,F256),I256))</f>
      </c>
      <c r="N256" s="25">
        <f>IF(OR(A256="",H256="",E256=""),0,MAX(0,ROUND((H256-E256)*1440,0)))</f>
      </c>
      <c r="O256" s="25">
        <f>IF(OR(A256="",I256="",F256=""),0,MAX(0,ROUND((F256-I256)*1440,0)))</f>
      </c>
      <c r="P256" s="12">
        <f>IF(OR(L256="",M256=""),0,MAX(0,ROUND((M256-L256)*24-G256,2)))</f>
      </c>
      <c r="Q256" s="12">
        <f>IF(P256=0,0,MIN(P256,'00_Parametres'!$B$23))</f>
      </c>
      <c r="R256" s="12">
        <f>IF(P256=0,0,MAX(0,P256-'00_Parametres'!$B$23))</f>
      </c>
      <c r="S256" s="10"/>
      <c r="T256" s="10"/>
      <c r="U256" s="10"/>
    </row>
    <row r="257" spans="1:21" x14ac:dyDescent="0.25">
      <c r="A257" s="18"/>
      <c r="B257" s="18"/>
      <c r="C257" s="9">
        <f>IF(B257="","",IFERROR(VLOOKUP(B257,'01_Employes'!$A$6:$Q$30,4,FALSE),"⚠ ID inconnu"))</f>
      </c>
      <c r="D257" s="9">
        <f>IF(A257="","",TEXT(A257,"dddd"))</f>
      </c>
      <c r="E257" s="24">
        <f>IF(A257="","",IFERROR(INDEX('00_Parametres'!$C$7:$C$13,WEEKDAY(A257,2)),""))</f>
      </c>
      <c r="F257" s="24">
        <f>IF(A257="","",IFERROR(INDEX('00_Parametres'!$D$7:$D$13,WEEKDAY(A257,2)),""))</f>
      </c>
      <c r="G257" s="24">
        <f>IF(A257="","",IFERROR(INDEX('00_Parametres'!$E$7:$E$13,WEEKDAY(A257,2)),0))</f>
      </c>
      <c r="H257" s="11"/>
      <c r="I257" s="11"/>
      <c r="J257" s="11"/>
      <c r="K257" s="11"/>
      <c r="L257" s="12">
        <f>IF(OR(A257="",H257=""),"",IF(H257&lt;E257,IF(OR(J257="Oui",'00_Parametres'!$B$28="Oui"),H257,E257),H257))</f>
      </c>
      <c r="M257" s="12">
        <f>IF(OR(A257="",I257=""),"",IF(I257&gt;F257,IF(OR(K257="Oui",'00_Parametres'!$B$29="Oui"),I257,F257),I257))</f>
      </c>
      <c r="N257" s="25">
        <f>IF(OR(A257="",H257="",E257=""),0,MAX(0,ROUND((H257-E257)*1440,0)))</f>
      </c>
      <c r="O257" s="25">
        <f>IF(OR(A257="",I257="",F257=""),0,MAX(0,ROUND((F257-I257)*1440,0)))</f>
      </c>
      <c r="P257" s="12">
        <f>IF(OR(L257="",M257=""),0,MAX(0,ROUND((M257-L257)*24-G257,2)))</f>
      </c>
      <c r="Q257" s="12">
        <f>IF(P257=0,0,MIN(P257,'00_Parametres'!$B$23))</f>
      </c>
      <c r="R257" s="12">
        <f>IF(P257=0,0,MAX(0,P257-'00_Parametres'!$B$23))</f>
      </c>
      <c r="S257" s="10"/>
      <c r="T257" s="10"/>
      <c r="U257" s="10"/>
    </row>
    <row r="258" spans="1:21" x14ac:dyDescent="0.25">
      <c r="A258" s="18"/>
      <c r="B258" s="18"/>
      <c r="C258" s="9">
        <f>IF(B258="","",IFERROR(VLOOKUP(B258,'01_Employes'!$A$6:$Q$30,4,FALSE),"⚠ ID inconnu"))</f>
      </c>
      <c r="D258" s="9">
        <f>IF(A258="","",TEXT(A258,"dddd"))</f>
      </c>
      <c r="E258" s="24">
        <f>IF(A258="","",IFERROR(INDEX('00_Parametres'!$C$7:$C$13,WEEKDAY(A258,2)),""))</f>
      </c>
      <c r="F258" s="24">
        <f>IF(A258="","",IFERROR(INDEX('00_Parametres'!$D$7:$D$13,WEEKDAY(A258,2)),""))</f>
      </c>
      <c r="G258" s="24">
        <f>IF(A258="","",IFERROR(INDEX('00_Parametres'!$E$7:$E$13,WEEKDAY(A258,2)),0))</f>
      </c>
      <c r="H258" s="11"/>
      <c r="I258" s="11"/>
      <c r="J258" s="11"/>
      <c r="K258" s="11"/>
      <c r="L258" s="12">
        <f>IF(OR(A258="",H258=""),"",IF(H258&lt;E258,IF(OR(J258="Oui",'00_Parametres'!$B$28="Oui"),H258,E258),H258))</f>
      </c>
      <c r="M258" s="12">
        <f>IF(OR(A258="",I258=""),"",IF(I258&gt;F258,IF(OR(K258="Oui",'00_Parametres'!$B$29="Oui"),I258,F258),I258))</f>
      </c>
      <c r="N258" s="25">
        <f>IF(OR(A258="",H258="",E258=""),0,MAX(0,ROUND((H258-E258)*1440,0)))</f>
      </c>
      <c r="O258" s="25">
        <f>IF(OR(A258="",I258="",F258=""),0,MAX(0,ROUND((F258-I258)*1440,0)))</f>
      </c>
      <c r="P258" s="12">
        <f>IF(OR(L258="",M258=""),0,MAX(0,ROUND((M258-L258)*24-G258,2)))</f>
      </c>
      <c r="Q258" s="12">
        <f>IF(P258=0,0,MIN(P258,'00_Parametres'!$B$23))</f>
      </c>
      <c r="R258" s="12">
        <f>IF(P258=0,0,MAX(0,P258-'00_Parametres'!$B$23))</f>
      </c>
      <c r="S258" s="10"/>
      <c r="T258" s="10"/>
      <c r="U258" s="10"/>
    </row>
    <row r="259" spans="1:21" x14ac:dyDescent="0.25">
      <c r="A259" s="18"/>
      <c r="B259" s="18"/>
      <c r="C259" s="9">
        <f>IF(B259="","",IFERROR(VLOOKUP(B259,'01_Employes'!$A$6:$Q$30,4,FALSE),"⚠ ID inconnu"))</f>
      </c>
      <c r="D259" s="9">
        <f>IF(A259="","",TEXT(A259,"dddd"))</f>
      </c>
      <c r="E259" s="24">
        <f>IF(A259="","",IFERROR(INDEX('00_Parametres'!$C$7:$C$13,WEEKDAY(A259,2)),""))</f>
      </c>
      <c r="F259" s="24">
        <f>IF(A259="","",IFERROR(INDEX('00_Parametres'!$D$7:$D$13,WEEKDAY(A259,2)),""))</f>
      </c>
      <c r="G259" s="24">
        <f>IF(A259="","",IFERROR(INDEX('00_Parametres'!$E$7:$E$13,WEEKDAY(A259,2)),0))</f>
      </c>
      <c r="H259" s="11"/>
      <c r="I259" s="11"/>
      <c r="J259" s="11"/>
      <c r="K259" s="11"/>
      <c r="L259" s="12">
        <f>IF(OR(A259="",H259=""),"",IF(H259&lt;E259,IF(OR(J259="Oui",'00_Parametres'!$B$28="Oui"),H259,E259),H259))</f>
      </c>
      <c r="M259" s="12">
        <f>IF(OR(A259="",I259=""),"",IF(I259&gt;F259,IF(OR(K259="Oui",'00_Parametres'!$B$29="Oui"),I259,F259),I259))</f>
      </c>
      <c r="N259" s="25">
        <f>IF(OR(A259="",H259="",E259=""),0,MAX(0,ROUND((H259-E259)*1440,0)))</f>
      </c>
      <c r="O259" s="25">
        <f>IF(OR(A259="",I259="",F259=""),0,MAX(0,ROUND((F259-I259)*1440,0)))</f>
      </c>
      <c r="P259" s="12">
        <f>IF(OR(L259="",M259=""),0,MAX(0,ROUND((M259-L259)*24-G259,2)))</f>
      </c>
      <c r="Q259" s="12">
        <f>IF(P259=0,0,MIN(P259,'00_Parametres'!$B$23))</f>
      </c>
      <c r="R259" s="12">
        <f>IF(P259=0,0,MAX(0,P259-'00_Parametres'!$B$23))</f>
      </c>
      <c r="S259" s="10"/>
      <c r="T259" s="10"/>
      <c r="U259" s="10"/>
    </row>
    <row r="260" spans="1:21" x14ac:dyDescent="0.25">
      <c r="A260" s="18"/>
      <c r="B260" s="18"/>
      <c r="C260" s="9">
        <f>IF(B260="","",IFERROR(VLOOKUP(B260,'01_Employes'!$A$6:$Q$30,4,FALSE),"⚠ ID inconnu"))</f>
      </c>
      <c r="D260" s="9">
        <f>IF(A260="","",TEXT(A260,"dddd"))</f>
      </c>
      <c r="E260" s="24">
        <f>IF(A260="","",IFERROR(INDEX('00_Parametres'!$C$7:$C$13,WEEKDAY(A260,2)),""))</f>
      </c>
      <c r="F260" s="24">
        <f>IF(A260="","",IFERROR(INDEX('00_Parametres'!$D$7:$D$13,WEEKDAY(A260,2)),""))</f>
      </c>
      <c r="G260" s="24">
        <f>IF(A260="","",IFERROR(INDEX('00_Parametres'!$E$7:$E$13,WEEKDAY(A260,2)),0))</f>
      </c>
      <c r="H260" s="11"/>
      <c r="I260" s="11"/>
      <c r="J260" s="11"/>
      <c r="K260" s="11"/>
      <c r="L260" s="12">
        <f>IF(OR(A260="",H260=""),"",IF(H260&lt;E260,IF(OR(J260="Oui",'00_Parametres'!$B$28="Oui"),H260,E260),H260))</f>
      </c>
      <c r="M260" s="12">
        <f>IF(OR(A260="",I260=""),"",IF(I260&gt;F260,IF(OR(K260="Oui",'00_Parametres'!$B$29="Oui"),I260,F260),I260))</f>
      </c>
      <c r="N260" s="25">
        <f>IF(OR(A260="",H260="",E260=""),0,MAX(0,ROUND((H260-E260)*1440,0)))</f>
      </c>
      <c r="O260" s="25">
        <f>IF(OR(A260="",I260="",F260=""),0,MAX(0,ROUND((F260-I260)*1440,0)))</f>
      </c>
      <c r="P260" s="12">
        <f>IF(OR(L260="",M260=""),0,MAX(0,ROUND((M260-L260)*24-G260,2)))</f>
      </c>
      <c r="Q260" s="12">
        <f>IF(P260=0,0,MIN(P260,'00_Parametres'!$B$23))</f>
      </c>
      <c r="R260" s="12">
        <f>IF(P260=0,0,MAX(0,P260-'00_Parametres'!$B$23))</f>
      </c>
      <c r="S260" s="10"/>
      <c r="T260" s="10"/>
      <c r="U260" s="10"/>
    </row>
    <row r="261" spans="1:21" x14ac:dyDescent="0.25">
      <c r="A261" s="18"/>
      <c r="B261" s="18"/>
      <c r="C261" s="9">
        <f>IF(B261="","",IFERROR(VLOOKUP(B261,'01_Employes'!$A$6:$Q$30,4,FALSE),"⚠ ID inconnu"))</f>
      </c>
      <c r="D261" s="9">
        <f>IF(A261="","",TEXT(A261,"dddd"))</f>
      </c>
      <c r="E261" s="24">
        <f>IF(A261="","",IFERROR(INDEX('00_Parametres'!$C$7:$C$13,WEEKDAY(A261,2)),""))</f>
      </c>
      <c r="F261" s="24">
        <f>IF(A261="","",IFERROR(INDEX('00_Parametres'!$D$7:$D$13,WEEKDAY(A261,2)),""))</f>
      </c>
      <c r="G261" s="24">
        <f>IF(A261="","",IFERROR(INDEX('00_Parametres'!$E$7:$E$13,WEEKDAY(A261,2)),0))</f>
      </c>
      <c r="H261" s="11"/>
      <c r="I261" s="11"/>
      <c r="J261" s="11"/>
      <c r="K261" s="11"/>
      <c r="L261" s="12">
        <f>IF(OR(A261="",H261=""),"",IF(H261&lt;E261,IF(OR(J261="Oui",'00_Parametres'!$B$28="Oui"),H261,E261),H261))</f>
      </c>
      <c r="M261" s="12">
        <f>IF(OR(A261="",I261=""),"",IF(I261&gt;F261,IF(OR(K261="Oui",'00_Parametres'!$B$29="Oui"),I261,F261),I261))</f>
      </c>
      <c r="N261" s="25">
        <f>IF(OR(A261="",H261="",E261=""),0,MAX(0,ROUND((H261-E261)*1440,0)))</f>
      </c>
      <c r="O261" s="25">
        <f>IF(OR(A261="",I261="",F261=""),0,MAX(0,ROUND((F261-I261)*1440,0)))</f>
      </c>
      <c r="P261" s="12">
        <f>IF(OR(L261="",M261=""),0,MAX(0,ROUND((M261-L261)*24-G261,2)))</f>
      </c>
      <c r="Q261" s="12">
        <f>IF(P261=0,0,MIN(P261,'00_Parametres'!$B$23))</f>
      </c>
      <c r="R261" s="12">
        <f>IF(P261=0,0,MAX(0,P261-'00_Parametres'!$B$23))</f>
      </c>
      <c r="S261" s="10"/>
      <c r="T261" s="10"/>
      <c r="U261" s="10"/>
    </row>
    <row r="262" spans="1:21" x14ac:dyDescent="0.25">
      <c r="A262" s="18"/>
      <c r="B262" s="18"/>
      <c r="C262" s="9">
        <f>IF(B262="","",IFERROR(VLOOKUP(B262,'01_Employes'!$A$6:$Q$30,4,FALSE),"⚠ ID inconnu"))</f>
      </c>
      <c r="D262" s="9">
        <f>IF(A262="","",TEXT(A262,"dddd"))</f>
      </c>
      <c r="E262" s="24">
        <f>IF(A262="","",IFERROR(INDEX('00_Parametres'!$C$7:$C$13,WEEKDAY(A262,2)),""))</f>
      </c>
      <c r="F262" s="24">
        <f>IF(A262="","",IFERROR(INDEX('00_Parametres'!$D$7:$D$13,WEEKDAY(A262,2)),""))</f>
      </c>
      <c r="G262" s="24">
        <f>IF(A262="","",IFERROR(INDEX('00_Parametres'!$E$7:$E$13,WEEKDAY(A262,2)),0))</f>
      </c>
      <c r="H262" s="11"/>
      <c r="I262" s="11"/>
      <c r="J262" s="11"/>
      <c r="K262" s="11"/>
      <c r="L262" s="12">
        <f>IF(OR(A262="",H262=""),"",IF(H262&lt;E262,IF(OR(J262="Oui",'00_Parametres'!$B$28="Oui"),H262,E262),H262))</f>
      </c>
      <c r="M262" s="12">
        <f>IF(OR(A262="",I262=""),"",IF(I262&gt;F262,IF(OR(K262="Oui",'00_Parametres'!$B$29="Oui"),I262,F262),I262))</f>
      </c>
      <c r="N262" s="25">
        <f>IF(OR(A262="",H262="",E262=""),0,MAX(0,ROUND((H262-E262)*1440,0)))</f>
      </c>
      <c r="O262" s="25">
        <f>IF(OR(A262="",I262="",F262=""),0,MAX(0,ROUND((F262-I262)*1440,0)))</f>
      </c>
      <c r="P262" s="12">
        <f>IF(OR(L262="",M262=""),0,MAX(0,ROUND((M262-L262)*24-G262,2)))</f>
      </c>
      <c r="Q262" s="12">
        <f>IF(P262=0,0,MIN(P262,'00_Parametres'!$B$23))</f>
      </c>
      <c r="R262" s="12">
        <f>IF(P262=0,0,MAX(0,P262-'00_Parametres'!$B$23))</f>
      </c>
      <c r="S262" s="10"/>
      <c r="T262" s="10"/>
      <c r="U262" s="10"/>
    </row>
    <row r="263" spans="1:21" x14ac:dyDescent="0.25">
      <c r="A263" s="18"/>
      <c r="B263" s="18"/>
      <c r="C263" s="9">
        <f>IF(B263="","",IFERROR(VLOOKUP(B263,'01_Employes'!$A$6:$Q$30,4,FALSE),"⚠ ID inconnu"))</f>
      </c>
      <c r="D263" s="9">
        <f>IF(A263="","",TEXT(A263,"dddd"))</f>
      </c>
      <c r="E263" s="24">
        <f>IF(A263="","",IFERROR(INDEX('00_Parametres'!$C$7:$C$13,WEEKDAY(A263,2)),""))</f>
      </c>
      <c r="F263" s="24">
        <f>IF(A263="","",IFERROR(INDEX('00_Parametres'!$D$7:$D$13,WEEKDAY(A263,2)),""))</f>
      </c>
      <c r="G263" s="24">
        <f>IF(A263="","",IFERROR(INDEX('00_Parametres'!$E$7:$E$13,WEEKDAY(A263,2)),0))</f>
      </c>
      <c r="H263" s="11"/>
      <c r="I263" s="11"/>
      <c r="J263" s="11"/>
      <c r="K263" s="11"/>
      <c r="L263" s="12">
        <f>IF(OR(A263="",H263=""),"",IF(H263&lt;E263,IF(OR(J263="Oui",'00_Parametres'!$B$28="Oui"),H263,E263),H263))</f>
      </c>
      <c r="M263" s="12">
        <f>IF(OR(A263="",I263=""),"",IF(I263&gt;F263,IF(OR(K263="Oui",'00_Parametres'!$B$29="Oui"),I263,F263),I263))</f>
      </c>
      <c r="N263" s="25">
        <f>IF(OR(A263="",H263="",E263=""),0,MAX(0,ROUND((H263-E263)*1440,0)))</f>
      </c>
      <c r="O263" s="25">
        <f>IF(OR(A263="",I263="",F263=""),0,MAX(0,ROUND((F263-I263)*1440,0)))</f>
      </c>
      <c r="P263" s="12">
        <f>IF(OR(L263="",M263=""),0,MAX(0,ROUND((M263-L263)*24-G263,2)))</f>
      </c>
      <c r="Q263" s="12">
        <f>IF(P263=0,0,MIN(P263,'00_Parametres'!$B$23))</f>
      </c>
      <c r="R263" s="12">
        <f>IF(P263=0,0,MAX(0,P263-'00_Parametres'!$B$23))</f>
      </c>
      <c r="S263" s="10"/>
      <c r="T263" s="10"/>
      <c r="U263" s="10"/>
    </row>
    <row r="264" spans="1:21" x14ac:dyDescent="0.25">
      <c r="A264" s="18"/>
      <c r="B264" s="18"/>
      <c r="C264" s="9">
        <f>IF(B264="","",IFERROR(VLOOKUP(B264,'01_Employes'!$A$6:$Q$30,4,FALSE),"⚠ ID inconnu"))</f>
      </c>
      <c r="D264" s="9">
        <f>IF(A264="","",TEXT(A264,"dddd"))</f>
      </c>
      <c r="E264" s="24">
        <f>IF(A264="","",IFERROR(INDEX('00_Parametres'!$C$7:$C$13,WEEKDAY(A264,2)),""))</f>
      </c>
      <c r="F264" s="24">
        <f>IF(A264="","",IFERROR(INDEX('00_Parametres'!$D$7:$D$13,WEEKDAY(A264,2)),""))</f>
      </c>
      <c r="G264" s="24">
        <f>IF(A264="","",IFERROR(INDEX('00_Parametres'!$E$7:$E$13,WEEKDAY(A264,2)),0))</f>
      </c>
      <c r="H264" s="11"/>
      <c r="I264" s="11"/>
      <c r="J264" s="11"/>
      <c r="K264" s="11"/>
      <c r="L264" s="12">
        <f>IF(OR(A264="",H264=""),"",IF(H264&lt;E264,IF(OR(J264="Oui",'00_Parametres'!$B$28="Oui"),H264,E264),H264))</f>
      </c>
      <c r="M264" s="12">
        <f>IF(OR(A264="",I264=""),"",IF(I264&gt;F264,IF(OR(K264="Oui",'00_Parametres'!$B$29="Oui"),I264,F264),I264))</f>
      </c>
      <c r="N264" s="25">
        <f>IF(OR(A264="",H264="",E264=""),0,MAX(0,ROUND((H264-E264)*1440,0)))</f>
      </c>
      <c r="O264" s="25">
        <f>IF(OR(A264="",I264="",F264=""),0,MAX(0,ROUND((F264-I264)*1440,0)))</f>
      </c>
      <c r="P264" s="12">
        <f>IF(OR(L264="",M264=""),0,MAX(0,ROUND((M264-L264)*24-G264,2)))</f>
      </c>
      <c r="Q264" s="12">
        <f>IF(P264=0,0,MIN(P264,'00_Parametres'!$B$23))</f>
      </c>
      <c r="R264" s="12">
        <f>IF(P264=0,0,MAX(0,P264-'00_Parametres'!$B$23))</f>
      </c>
      <c r="S264" s="10"/>
      <c r="T264" s="10"/>
      <c r="U264" s="10"/>
    </row>
    <row r="265" spans="1:21" x14ac:dyDescent="0.25">
      <c r="A265" s="18"/>
      <c r="B265" s="18"/>
      <c r="C265" s="9">
        <f>IF(B265="","",IFERROR(VLOOKUP(B265,'01_Employes'!$A$6:$Q$30,4,FALSE),"⚠ ID inconnu"))</f>
      </c>
      <c r="D265" s="9">
        <f>IF(A265="","",TEXT(A265,"dddd"))</f>
      </c>
      <c r="E265" s="24">
        <f>IF(A265="","",IFERROR(INDEX('00_Parametres'!$C$7:$C$13,WEEKDAY(A265,2)),""))</f>
      </c>
      <c r="F265" s="24">
        <f>IF(A265="","",IFERROR(INDEX('00_Parametres'!$D$7:$D$13,WEEKDAY(A265,2)),""))</f>
      </c>
      <c r="G265" s="24">
        <f>IF(A265="","",IFERROR(INDEX('00_Parametres'!$E$7:$E$13,WEEKDAY(A265,2)),0))</f>
      </c>
      <c r="H265" s="11"/>
      <c r="I265" s="11"/>
      <c r="J265" s="11"/>
      <c r="K265" s="11"/>
      <c r="L265" s="12">
        <f>IF(OR(A265="",H265=""),"",IF(H265&lt;E265,IF(OR(J265="Oui",'00_Parametres'!$B$28="Oui"),H265,E265),H265))</f>
      </c>
      <c r="M265" s="12">
        <f>IF(OR(A265="",I265=""),"",IF(I265&gt;F265,IF(OR(K265="Oui",'00_Parametres'!$B$29="Oui"),I265,F265),I265))</f>
      </c>
      <c r="N265" s="25">
        <f>IF(OR(A265="",H265="",E265=""),0,MAX(0,ROUND((H265-E265)*1440,0)))</f>
      </c>
      <c r="O265" s="25">
        <f>IF(OR(A265="",I265="",F265=""),0,MAX(0,ROUND((F265-I265)*1440,0)))</f>
      </c>
      <c r="P265" s="12">
        <f>IF(OR(L265="",M265=""),0,MAX(0,ROUND((M265-L265)*24-G265,2)))</f>
      </c>
      <c r="Q265" s="12">
        <f>IF(P265=0,0,MIN(P265,'00_Parametres'!$B$23))</f>
      </c>
      <c r="R265" s="12">
        <f>IF(P265=0,0,MAX(0,P265-'00_Parametres'!$B$23))</f>
      </c>
      <c r="S265" s="10"/>
      <c r="T265" s="10"/>
      <c r="U265" s="10"/>
    </row>
    <row r="266" spans="1:21" x14ac:dyDescent="0.25">
      <c r="A266" s="18"/>
      <c r="B266" s="18"/>
      <c r="C266" s="9">
        <f>IF(B266="","",IFERROR(VLOOKUP(B266,'01_Employes'!$A$6:$Q$30,4,FALSE),"⚠ ID inconnu"))</f>
      </c>
      <c r="D266" s="9">
        <f>IF(A266="","",TEXT(A266,"dddd"))</f>
      </c>
      <c r="E266" s="24">
        <f>IF(A266="","",IFERROR(INDEX('00_Parametres'!$C$7:$C$13,WEEKDAY(A266,2)),""))</f>
      </c>
      <c r="F266" s="24">
        <f>IF(A266="","",IFERROR(INDEX('00_Parametres'!$D$7:$D$13,WEEKDAY(A266,2)),""))</f>
      </c>
      <c r="G266" s="24">
        <f>IF(A266="","",IFERROR(INDEX('00_Parametres'!$E$7:$E$13,WEEKDAY(A266,2)),0))</f>
      </c>
      <c r="H266" s="11"/>
      <c r="I266" s="11"/>
      <c r="J266" s="11"/>
      <c r="K266" s="11"/>
      <c r="L266" s="12">
        <f>IF(OR(A266="",H266=""),"",IF(H266&lt;E266,IF(OR(J266="Oui",'00_Parametres'!$B$28="Oui"),H266,E266),H266))</f>
      </c>
      <c r="M266" s="12">
        <f>IF(OR(A266="",I266=""),"",IF(I266&gt;F266,IF(OR(K266="Oui",'00_Parametres'!$B$29="Oui"),I266,F266),I266))</f>
      </c>
      <c r="N266" s="25">
        <f>IF(OR(A266="",H266="",E266=""),0,MAX(0,ROUND((H266-E266)*1440,0)))</f>
      </c>
      <c r="O266" s="25">
        <f>IF(OR(A266="",I266="",F266=""),0,MAX(0,ROUND((F266-I266)*1440,0)))</f>
      </c>
      <c r="P266" s="12">
        <f>IF(OR(L266="",M266=""),0,MAX(0,ROUND((M266-L266)*24-G266,2)))</f>
      </c>
      <c r="Q266" s="12">
        <f>IF(P266=0,0,MIN(P266,'00_Parametres'!$B$23))</f>
      </c>
      <c r="R266" s="12">
        <f>IF(P266=0,0,MAX(0,P266-'00_Parametres'!$B$23))</f>
      </c>
      <c r="S266" s="10"/>
      <c r="T266" s="10"/>
      <c r="U266" s="10"/>
    </row>
    <row r="267" spans="1:21" x14ac:dyDescent="0.25">
      <c r="A267" s="18"/>
      <c r="B267" s="18"/>
      <c r="C267" s="9">
        <f>IF(B267="","",IFERROR(VLOOKUP(B267,'01_Employes'!$A$6:$Q$30,4,FALSE),"⚠ ID inconnu"))</f>
      </c>
      <c r="D267" s="9">
        <f>IF(A267="","",TEXT(A267,"dddd"))</f>
      </c>
      <c r="E267" s="24">
        <f>IF(A267="","",IFERROR(INDEX('00_Parametres'!$C$7:$C$13,WEEKDAY(A267,2)),""))</f>
      </c>
      <c r="F267" s="24">
        <f>IF(A267="","",IFERROR(INDEX('00_Parametres'!$D$7:$D$13,WEEKDAY(A267,2)),""))</f>
      </c>
      <c r="G267" s="24">
        <f>IF(A267="","",IFERROR(INDEX('00_Parametres'!$E$7:$E$13,WEEKDAY(A267,2)),0))</f>
      </c>
      <c r="H267" s="11"/>
      <c r="I267" s="11"/>
      <c r="J267" s="11"/>
      <c r="K267" s="11"/>
      <c r="L267" s="12">
        <f>IF(OR(A267="",H267=""),"",IF(H267&lt;E267,IF(OR(J267="Oui",'00_Parametres'!$B$28="Oui"),H267,E267),H267))</f>
      </c>
      <c r="M267" s="12">
        <f>IF(OR(A267="",I267=""),"",IF(I267&gt;F267,IF(OR(K267="Oui",'00_Parametres'!$B$29="Oui"),I267,F267),I267))</f>
      </c>
      <c r="N267" s="25">
        <f>IF(OR(A267="",H267="",E267=""),0,MAX(0,ROUND((H267-E267)*1440,0)))</f>
      </c>
      <c r="O267" s="25">
        <f>IF(OR(A267="",I267="",F267=""),0,MAX(0,ROUND((F267-I267)*1440,0)))</f>
      </c>
      <c r="P267" s="12">
        <f>IF(OR(L267="",M267=""),0,MAX(0,ROUND((M267-L267)*24-G267,2)))</f>
      </c>
      <c r="Q267" s="12">
        <f>IF(P267=0,0,MIN(P267,'00_Parametres'!$B$23))</f>
      </c>
      <c r="R267" s="12">
        <f>IF(P267=0,0,MAX(0,P267-'00_Parametres'!$B$23))</f>
      </c>
      <c r="S267" s="10"/>
      <c r="T267" s="10"/>
      <c r="U267" s="10"/>
    </row>
    <row r="268" spans="1:21" x14ac:dyDescent="0.25">
      <c r="A268" s="18"/>
      <c r="B268" s="18"/>
      <c r="C268" s="9">
        <f>IF(B268="","",IFERROR(VLOOKUP(B268,'01_Employes'!$A$6:$Q$30,4,FALSE),"⚠ ID inconnu"))</f>
      </c>
      <c r="D268" s="9">
        <f>IF(A268="","",TEXT(A268,"dddd"))</f>
      </c>
      <c r="E268" s="24">
        <f>IF(A268="","",IFERROR(INDEX('00_Parametres'!$C$7:$C$13,WEEKDAY(A268,2)),""))</f>
      </c>
      <c r="F268" s="24">
        <f>IF(A268="","",IFERROR(INDEX('00_Parametres'!$D$7:$D$13,WEEKDAY(A268,2)),""))</f>
      </c>
      <c r="G268" s="24">
        <f>IF(A268="","",IFERROR(INDEX('00_Parametres'!$E$7:$E$13,WEEKDAY(A268,2)),0))</f>
      </c>
      <c r="H268" s="11"/>
      <c r="I268" s="11"/>
      <c r="J268" s="11"/>
      <c r="K268" s="11"/>
      <c r="L268" s="12">
        <f>IF(OR(A268="",H268=""),"",IF(H268&lt;E268,IF(OR(J268="Oui",'00_Parametres'!$B$28="Oui"),H268,E268),H268))</f>
      </c>
      <c r="M268" s="12">
        <f>IF(OR(A268="",I268=""),"",IF(I268&gt;F268,IF(OR(K268="Oui",'00_Parametres'!$B$29="Oui"),I268,F268),I268))</f>
      </c>
      <c r="N268" s="25">
        <f>IF(OR(A268="",H268="",E268=""),0,MAX(0,ROUND((H268-E268)*1440,0)))</f>
      </c>
      <c r="O268" s="25">
        <f>IF(OR(A268="",I268="",F268=""),0,MAX(0,ROUND((F268-I268)*1440,0)))</f>
      </c>
      <c r="P268" s="12">
        <f>IF(OR(L268="",M268=""),0,MAX(0,ROUND((M268-L268)*24-G268,2)))</f>
      </c>
      <c r="Q268" s="12">
        <f>IF(P268=0,0,MIN(P268,'00_Parametres'!$B$23))</f>
      </c>
      <c r="R268" s="12">
        <f>IF(P268=0,0,MAX(0,P268-'00_Parametres'!$B$23))</f>
      </c>
      <c r="S268" s="10"/>
      <c r="T268" s="10"/>
      <c r="U268" s="10"/>
    </row>
    <row r="269" spans="1:21" x14ac:dyDescent="0.25">
      <c r="A269" s="18"/>
      <c r="B269" s="18"/>
      <c r="C269" s="9">
        <f>IF(B269="","",IFERROR(VLOOKUP(B269,'01_Employes'!$A$6:$Q$30,4,FALSE),"⚠ ID inconnu"))</f>
      </c>
      <c r="D269" s="9">
        <f>IF(A269="","",TEXT(A269,"dddd"))</f>
      </c>
      <c r="E269" s="24">
        <f>IF(A269="","",IFERROR(INDEX('00_Parametres'!$C$7:$C$13,WEEKDAY(A269,2)),""))</f>
      </c>
      <c r="F269" s="24">
        <f>IF(A269="","",IFERROR(INDEX('00_Parametres'!$D$7:$D$13,WEEKDAY(A269,2)),""))</f>
      </c>
      <c r="G269" s="24">
        <f>IF(A269="","",IFERROR(INDEX('00_Parametres'!$E$7:$E$13,WEEKDAY(A269,2)),0))</f>
      </c>
      <c r="H269" s="11"/>
      <c r="I269" s="11"/>
      <c r="J269" s="11"/>
      <c r="K269" s="11"/>
      <c r="L269" s="12">
        <f>IF(OR(A269="",H269=""),"",IF(H269&lt;E269,IF(OR(J269="Oui",'00_Parametres'!$B$28="Oui"),H269,E269),H269))</f>
      </c>
      <c r="M269" s="12">
        <f>IF(OR(A269="",I269=""),"",IF(I269&gt;F269,IF(OR(K269="Oui",'00_Parametres'!$B$29="Oui"),I269,F269),I269))</f>
      </c>
      <c r="N269" s="25">
        <f>IF(OR(A269="",H269="",E269=""),0,MAX(0,ROUND((H269-E269)*1440,0)))</f>
      </c>
      <c r="O269" s="25">
        <f>IF(OR(A269="",I269="",F269=""),0,MAX(0,ROUND((F269-I269)*1440,0)))</f>
      </c>
      <c r="P269" s="12">
        <f>IF(OR(L269="",M269=""),0,MAX(0,ROUND((M269-L269)*24-G269,2)))</f>
      </c>
      <c r="Q269" s="12">
        <f>IF(P269=0,0,MIN(P269,'00_Parametres'!$B$23))</f>
      </c>
      <c r="R269" s="12">
        <f>IF(P269=0,0,MAX(0,P269-'00_Parametres'!$B$23))</f>
      </c>
      <c r="S269" s="10"/>
      <c r="T269" s="10"/>
      <c r="U269" s="10"/>
    </row>
    <row r="270" spans="1:21" x14ac:dyDescent="0.25">
      <c r="A270" s="18"/>
      <c r="B270" s="18"/>
      <c r="C270" s="9">
        <f>IF(B270="","",IFERROR(VLOOKUP(B270,'01_Employes'!$A$6:$Q$30,4,FALSE),"⚠ ID inconnu"))</f>
      </c>
      <c r="D270" s="9">
        <f>IF(A270="","",TEXT(A270,"dddd"))</f>
      </c>
      <c r="E270" s="24">
        <f>IF(A270="","",IFERROR(INDEX('00_Parametres'!$C$7:$C$13,WEEKDAY(A270,2)),""))</f>
      </c>
      <c r="F270" s="24">
        <f>IF(A270="","",IFERROR(INDEX('00_Parametres'!$D$7:$D$13,WEEKDAY(A270,2)),""))</f>
      </c>
      <c r="G270" s="24">
        <f>IF(A270="","",IFERROR(INDEX('00_Parametres'!$E$7:$E$13,WEEKDAY(A270,2)),0))</f>
      </c>
      <c r="H270" s="11"/>
      <c r="I270" s="11"/>
      <c r="J270" s="11"/>
      <c r="K270" s="11"/>
      <c r="L270" s="12">
        <f>IF(OR(A270="",H270=""),"",IF(H270&lt;E270,IF(OR(J270="Oui",'00_Parametres'!$B$28="Oui"),H270,E270),H270))</f>
      </c>
      <c r="M270" s="12">
        <f>IF(OR(A270="",I270=""),"",IF(I270&gt;F270,IF(OR(K270="Oui",'00_Parametres'!$B$29="Oui"),I270,F270),I270))</f>
      </c>
      <c r="N270" s="25">
        <f>IF(OR(A270="",H270="",E270=""),0,MAX(0,ROUND((H270-E270)*1440,0)))</f>
      </c>
      <c r="O270" s="25">
        <f>IF(OR(A270="",I270="",F270=""),0,MAX(0,ROUND((F270-I270)*1440,0)))</f>
      </c>
      <c r="P270" s="12">
        <f>IF(OR(L270="",M270=""),0,MAX(0,ROUND((M270-L270)*24-G270,2)))</f>
      </c>
      <c r="Q270" s="12">
        <f>IF(P270=0,0,MIN(P270,'00_Parametres'!$B$23))</f>
      </c>
      <c r="R270" s="12">
        <f>IF(P270=0,0,MAX(0,P270-'00_Parametres'!$B$23))</f>
      </c>
      <c r="S270" s="10"/>
      <c r="T270" s="10"/>
      <c r="U270" s="10"/>
    </row>
    <row r="271" spans="1:21" x14ac:dyDescent="0.25">
      <c r="A271" s="18"/>
      <c r="B271" s="18"/>
      <c r="C271" s="9">
        <f>IF(B271="","",IFERROR(VLOOKUP(B271,'01_Employes'!$A$6:$Q$30,4,FALSE),"⚠ ID inconnu"))</f>
      </c>
      <c r="D271" s="9">
        <f>IF(A271="","",TEXT(A271,"dddd"))</f>
      </c>
      <c r="E271" s="24">
        <f>IF(A271="","",IFERROR(INDEX('00_Parametres'!$C$7:$C$13,WEEKDAY(A271,2)),""))</f>
      </c>
      <c r="F271" s="24">
        <f>IF(A271="","",IFERROR(INDEX('00_Parametres'!$D$7:$D$13,WEEKDAY(A271,2)),""))</f>
      </c>
      <c r="G271" s="24">
        <f>IF(A271="","",IFERROR(INDEX('00_Parametres'!$E$7:$E$13,WEEKDAY(A271,2)),0))</f>
      </c>
      <c r="H271" s="11"/>
      <c r="I271" s="11"/>
      <c r="J271" s="11"/>
      <c r="K271" s="11"/>
      <c r="L271" s="12">
        <f>IF(OR(A271="",H271=""),"",IF(H271&lt;E271,IF(OR(J271="Oui",'00_Parametres'!$B$28="Oui"),H271,E271),H271))</f>
      </c>
      <c r="M271" s="12">
        <f>IF(OR(A271="",I271=""),"",IF(I271&gt;F271,IF(OR(K271="Oui",'00_Parametres'!$B$29="Oui"),I271,F271),I271))</f>
      </c>
      <c r="N271" s="25">
        <f>IF(OR(A271="",H271="",E271=""),0,MAX(0,ROUND((H271-E271)*1440,0)))</f>
      </c>
      <c r="O271" s="25">
        <f>IF(OR(A271="",I271="",F271=""),0,MAX(0,ROUND((F271-I271)*1440,0)))</f>
      </c>
      <c r="P271" s="12">
        <f>IF(OR(L271="",M271=""),0,MAX(0,ROUND((M271-L271)*24-G271,2)))</f>
      </c>
      <c r="Q271" s="12">
        <f>IF(P271=0,0,MIN(P271,'00_Parametres'!$B$23))</f>
      </c>
      <c r="R271" s="12">
        <f>IF(P271=0,0,MAX(0,P271-'00_Parametres'!$B$23))</f>
      </c>
      <c r="S271" s="10"/>
      <c r="T271" s="10"/>
      <c r="U271" s="10"/>
    </row>
    <row r="272" spans="1:21" x14ac:dyDescent="0.25">
      <c r="A272" s="18"/>
      <c r="B272" s="18"/>
      <c r="C272" s="9">
        <f>IF(B272="","",IFERROR(VLOOKUP(B272,'01_Employes'!$A$6:$Q$30,4,FALSE),"⚠ ID inconnu"))</f>
      </c>
      <c r="D272" s="9">
        <f>IF(A272="","",TEXT(A272,"dddd"))</f>
      </c>
      <c r="E272" s="24">
        <f>IF(A272="","",IFERROR(INDEX('00_Parametres'!$C$7:$C$13,WEEKDAY(A272,2)),""))</f>
      </c>
      <c r="F272" s="24">
        <f>IF(A272="","",IFERROR(INDEX('00_Parametres'!$D$7:$D$13,WEEKDAY(A272,2)),""))</f>
      </c>
      <c r="G272" s="24">
        <f>IF(A272="","",IFERROR(INDEX('00_Parametres'!$E$7:$E$13,WEEKDAY(A272,2)),0))</f>
      </c>
      <c r="H272" s="11"/>
      <c r="I272" s="11"/>
      <c r="J272" s="11"/>
      <c r="K272" s="11"/>
      <c r="L272" s="12">
        <f>IF(OR(A272="",H272=""),"",IF(H272&lt;E272,IF(OR(J272="Oui",'00_Parametres'!$B$28="Oui"),H272,E272),H272))</f>
      </c>
      <c r="M272" s="12">
        <f>IF(OR(A272="",I272=""),"",IF(I272&gt;F272,IF(OR(K272="Oui",'00_Parametres'!$B$29="Oui"),I272,F272),I272))</f>
      </c>
      <c r="N272" s="25">
        <f>IF(OR(A272="",H272="",E272=""),0,MAX(0,ROUND((H272-E272)*1440,0)))</f>
      </c>
      <c r="O272" s="25">
        <f>IF(OR(A272="",I272="",F272=""),0,MAX(0,ROUND((F272-I272)*1440,0)))</f>
      </c>
      <c r="P272" s="12">
        <f>IF(OR(L272="",M272=""),0,MAX(0,ROUND((M272-L272)*24-G272,2)))</f>
      </c>
      <c r="Q272" s="12">
        <f>IF(P272=0,0,MIN(P272,'00_Parametres'!$B$23))</f>
      </c>
      <c r="R272" s="12">
        <f>IF(P272=0,0,MAX(0,P272-'00_Parametres'!$B$23))</f>
      </c>
      <c r="S272" s="10"/>
      <c r="T272" s="10"/>
      <c r="U272" s="10"/>
    </row>
    <row r="273" spans="1:21" x14ac:dyDescent="0.25">
      <c r="A273" s="18"/>
      <c r="B273" s="18"/>
      <c r="C273" s="9">
        <f>IF(B273="","",IFERROR(VLOOKUP(B273,'01_Employes'!$A$6:$Q$30,4,FALSE),"⚠ ID inconnu"))</f>
      </c>
      <c r="D273" s="9">
        <f>IF(A273="","",TEXT(A273,"dddd"))</f>
      </c>
      <c r="E273" s="24">
        <f>IF(A273="","",IFERROR(INDEX('00_Parametres'!$C$7:$C$13,WEEKDAY(A273,2)),""))</f>
      </c>
      <c r="F273" s="24">
        <f>IF(A273="","",IFERROR(INDEX('00_Parametres'!$D$7:$D$13,WEEKDAY(A273,2)),""))</f>
      </c>
      <c r="G273" s="24">
        <f>IF(A273="","",IFERROR(INDEX('00_Parametres'!$E$7:$E$13,WEEKDAY(A273,2)),0))</f>
      </c>
      <c r="H273" s="11"/>
      <c r="I273" s="11"/>
      <c r="J273" s="11"/>
      <c r="K273" s="11"/>
      <c r="L273" s="12">
        <f>IF(OR(A273="",H273=""),"",IF(H273&lt;E273,IF(OR(J273="Oui",'00_Parametres'!$B$28="Oui"),H273,E273),H273))</f>
      </c>
      <c r="M273" s="12">
        <f>IF(OR(A273="",I273=""),"",IF(I273&gt;F273,IF(OR(K273="Oui",'00_Parametres'!$B$29="Oui"),I273,F273),I273))</f>
      </c>
      <c r="N273" s="25">
        <f>IF(OR(A273="",H273="",E273=""),0,MAX(0,ROUND((H273-E273)*1440,0)))</f>
      </c>
      <c r="O273" s="25">
        <f>IF(OR(A273="",I273="",F273=""),0,MAX(0,ROUND((F273-I273)*1440,0)))</f>
      </c>
      <c r="P273" s="12">
        <f>IF(OR(L273="",M273=""),0,MAX(0,ROUND((M273-L273)*24-G273,2)))</f>
      </c>
      <c r="Q273" s="12">
        <f>IF(P273=0,0,MIN(P273,'00_Parametres'!$B$23))</f>
      </c>
      <c r="R273" s="12">
        <f>IF(P273=0,0,MAX(0,P273-'00_Parametres'!$B$23))</f>
      </c>
      <c r="S273" s="10"/>
      <c r="T273" s="10"/>
      <c r="U273" s="10"/>
    </row>
    <row r="274" spans="1:21" x14ac:dyDescent="0.25">
      <c r="A274" s="18"/>
      <c r="B274" s="18"/>
      <c r="C274" s="9">
        <f>IF(B274="","",IFERROR(VLOOKUP(B274,'01_Employes'!$A$6:$Q$30,4,FALSE),"⚠ ID inconnu"))</f>
      </c>
      <c r="D274" s="9">
        <f>IF(A274="","",TEXT(A274,"dddd"))</f>
      </c>
      <c r="E274" s="24">
        <f>IF(A274="","",IFERROR(INDEX('00_Parametres'!$C$7:$C$13,WEEKDAY(A274,2)),""))</f>
      </c>
      <c r="F274" s="24">
        <f>IF(A274="","",IFERROR(INDEX('00_Parametres'!$D$7:$D$13,WEEKDAY(A274,2)),""))</f>
      </c>
      <c r="G274" s="24">
        <f>IF(A274="","",IFERROR(INDEX('00_Parametres'!$E$7:$E$13,WEEKDAY(A274,2)),0))</f>
      </c>
      <c r="H274" s="11"/>
      <c r="I274" s="11"/>
      <c r="J274" s="11"/>
      <c r="K274" s="11"/>
      <c r="L274" s="12">
        <f>IF(OR(A274="",H274=""),"",IF(H274&lt;E274,IF(OR(J274="Oui",'00_Parametres'!$B$28="Oui"),H274,E274),H274))</f>
      </c>
      <c r="M274" s="12">
        <f>IF(OR(A274="",I274=""),"",IF(I274&gt;F274,IF(OR(K274="Oui",'00_Parametres'!$B$29="Oui"),I274,F274),I274))</f>
      </c>
      <c r="N274" s="25">
        <f>IF(OR(A274="",H274="",E274=""),0,MAX(0,ROUND((H274-E274)*1440,0)))</f>
      </c>
      <c r="O274" s="25">
        <f>IF(OR(A274="",I274="",F274=""),0,MAX(0,ROUND((F274-I274)*1440,0)))</f>
      </c>
      <c r="P274" s="12">
        <f>IF(OR(L274="",M274=""),0,MAX(0,ROUND((M274-L274)*24-G274,2)))</f>
      </c>
      <c r="Q274" s="12">
        <f>IF(P274=0,0,MIN(P274,'00_Parametres'!$B$23))</f>
      </c>
      <c r="R274" s="12">
        <f>IF(P274=0,0,MAX(0,P274-'00_Parametres'!$B$23))</f>
      </c>
      <c r="S274" s="10"/>
      <c r="T274" s="10"/>
      <c r="U274" s="10"/>
    </row>
    <row r="275" spans="1:21" x14ac:dyDescent="0.25">
      <c r="A275" s="18"/>
      <c r="B275" s="18"/>
      <c r="C275" s="9">
        <f>IF(B275="","",IFERROR(VLOOKUP(B275,'01_Employes'!$A$6:$Q$30,4,FALSE),"⚠ ID inconnu"))</f>
      </c>
      <c r="D275" s="9">
        <f>IF(A275="","",TEXT(A275,"dddd"))</f>
      </c>
      <c r="E275" s="24">
        <f>IF(A275="","",IFERROR(INDEX('00_Parametres'!$C$7:$C$13,WEEKDAY(A275,2)),""))</f>
      </c>
      <c r="F275" s="24">
        <f>IF(A275="","",IFERROR(INDEX('00_Parametres'!$D$7:$D$13,WEEKDAY(A275,2)),""))</f>
      </c>
      <c r="G275" s="24">
        <f>IF(A275="","",IFERROR(INDEX('00_Parametres'!$E$7:$E$13,WEEKDAY(A275,2)),0))</f>
      </c>
      <c r="H275" s="11"/>
      <c r="I275" s="11"/>
      <c r="J275" s="11"/>
      <c r="K275" s="11"/>
      <c r="L275" s="12">
        <f>IF(OR(A275="",H275=""),"",IF(H275&lt;E275,IF(OR(J275="Oui",'00_Parametres'!$B$28="Oui"),H275,E275),H275))</f>
      </c>
      <c r="M275" s="12">
        <f>IF(OR(A275="",I275=""),"",IF(I275&gt;F275,IF(OR(K275="Oui",'00_Parametres'!$B$29="Oui"),I275,F275),I275))</f>
      </c>
      <c r="N275" s="25">
        <f>IF(OR(A275="",H275="",E275=""),0,MAX(0,ROUND((H275-E275)*1440,0)))</f>
      </c>
      <c r="O275" s="25">
        <f>IF(OR(A275="",I275="",F275=""),0,MAX(0,ROUND((F275-I275)*1440,0)))</f>
      </c>
      <c r="P275" s="12">
        <f>IF(OR(L275="",M275=""),0,MAX(0,ROUND((M275-L275)*24-G275,2)))</f>
      </c>
      <c r="Q275" s="12">
        <f>IF(P275=0,0,MIN(P275,'00_Parametres'!$B$23))</f>
      </c>
      <c r="R275" s="12">
        <f>IF(P275=0,0,MAX(0,P275-'00_Parametres'!$B$23))</f>
      </c>
      <c r="S275" s="10"/>
      <c r="T275" s="10"/>
      <c r="U275" s="10"/>
    </row>
    <row r="276" spans="1:21" x14ac:dyDescent="0.25">
      <c r="A276" s="18"/>
      <c r="B276" s="18"/>
      <c r="C276" s="9">
        <f>IF(B276="","",IFERROR(VLOOKUP(B276,'01_Employes'!$A$6:$Q$30,4,FALSE),"⚠ ID inconnu"))</f>
      </c>
      <c r="D276" s="9">
        <f>IF(A276="","",TEXT(A276,"dddd"))</f>
      </c>
      <c r="E276" s="24">
        <f>IF(A276="","",IFERROR(INDEX('00_Parametres'!$C$7:$C$13,WEEKDAY(A276,2)),""))</f>
      </c>
      <c r="F276" s="24">
        <f>IF(A276="","",IFERROR(INDEX('00_Parametres'!$D$7:$D$13,WEEKDAY(A276,2)),""))</f>
      </c>
      <c r="G276" s="24">
        <f>IF(A276="","",IFERROR(INDEX('00_Parametres'!$E$7:$E$13,WEEKDAY(A276,2)),0))</f>
      </c>
      <c r="H276" s="11"/>
      <c r="I276" s="11"/>
      <c r="J276" s="11"/>
      <c r="K276" s="11"/>
      <c r="L276" s="12">
        <f>IF(OR(A276="",H276=""),"",IF(H276&lt;E276,IF(OR(J276="Oui",'00_Parametres'!$B$28="Oui"),H276,E276),H276))</f>
      </c>
      <c r="M276" s="12">
        <f>IF(OR(A276="",I276=""),"",IF(I276&gt;F276,IF(OR(K276="Oui",'00_Parametres'!$B$29="Oui"),I276,F276),I276))</f>
      </c>
      <c r="N276" s="25">
        <f>IF(OR(A276="",H276="",E276=""),0,MAX(0,ROUND((H276-E276)*1440,0)))</f>
      </c>
      <c r="O276" s="25">
        <f>IF(OR(A276="",I276="",F276=""),0,MAX(0,ROUND((F276-I276)*1440,0)))</f>
      </c>
      <c r="P276" s="12">
        <f>IF(OR(L276="",M276=""),0,MAX(0,ROUND((M276-L276)*24-G276,2)))</f>
      </c>
      <c r="Q276" s="12">
        <f>IF(P276=0,0,MIN(P276,'00_Parametres'!$B$23))</f>
      </c>
      <c r="R276" s="12">
        <f>IF(P276=0,0,MAX(0,P276-'00_Parametres'!$B$23))</f>
      </c>
      <c r="S276" s="10"/>
      <c r="T276" s="10"/>
      <c r="U276" s="10"/>
    </row>
    <row r="277" spans="1:21" x14ac:dyDescent="0.25">
      <c r="A277" s="18"/>
      <c r="B277" s="18"/>
      <c r="C277" s="9">
        <f>IF(B277="","",IFERROR(VLOOKUP(B277,'01_Employes'!$A$6:$Q$30,4,FALSE),"⚠ ID inconnu"))</f>
      </c>
      <c r="D277" s="9">
        <f>IF(A277="","",TEXT(A277,"dddd"))</f>
      </c>
      <c r="E277" s="24">
        <f>IF(A277="","",IFERROR(INDEX('00_Parametres'!$C$7:$C$13,WEEKDAY(A277,2)),""))</f>
      </c>
      <c r="F277" s="24">
        <f>IF(A277="","",IFERROR(INDEX('00_Parametres'!$D$7:$D$13,WEEKDAY(A277,2)),""))</f>
      </c>
      <c r="G277" s="24">
        <f>IF(A277="","",IFERROR(INDEX('00_Parametres'!$E$7:$E$13,WEEKDAY(A277,2)),0))</f>
      </c>
      <c r="H277" s="11"/>
      <c r="I277" s="11"/>
      <c r="J277" s="11"/>
      <c r="K277" s="11"/>
      <c r="L277" s="12">
        <f>IF(OR(A277="",H277=""),"",IF(H277&lt;E277,IF(OR(J277="Oui",'00_Parametres'!$B$28="Oui"),H277,E277),H277))</f>
      </c>
      <c r="M277" s="12">
        <f>IF(OR(A277="",I277=""),"",IF(I277&gt;F277,IF(OR(K277="Oui",'00_Parametres'!$B$29="Oui"),I277,F277),I277))</f>
      </c>
      <c r="N277" s="25">
        <f>IF(OR(A277="",H277="",E277=""),0,MAX(0,ROUND((H277-E277)*1440,0)))</f>
      </c>
      <c r="O277" s="25">
        <f>IF(OR(A277="",I277="",F277=""),0,MAX(0,ROUND((F277-I277)*1440,0)))</f>
      </c>
      <c r="P277" s="12">
        <f>IF(OR(L277="",M277=""),0,MAX(0,ROUND((M277-L277)*24-G277,2)))</f>
      </c>
      <c r="Q277" s="12">
        <f>IF(P277=0,0,MIN(P277,'00_Parametres'!$B$23))</f>
      </c>
      <c r="R277" s="12">
        <f>IF(P277=0,0,MAX(0,P277-'00_Parametres'!$B$23))</f>
      </c>
      <c r="S277" s="10"/>
      <c r="T277" s="10"/>
      <c r="U277" s="10"/>
    </row>
    <row r="278" spans="1:21" x14ac:dyDescent="0.25">
      <c r="A278" s="18"/>
      <c r="B278" s="18"/>
      <c r="C278" s="9">
        <f>IF(B278="","",IFERROR(VLOOKUP(B278,'01_Employes'!$A$6:$Q$30,4,FALSE),"⚠ ID inconnu"))</f>
      </c>
      <c r="D278" s="9">
        <f>IF(A278="","",TEXT(A278,"dddd"))</f>
      </c>
      <c r="E278" s="24">
        <f>IF(A278="","",IFERROR(INDEX('00_Parametres'!$C$7:$C$13,WEEKDAY(A278,2)),""))</f>
      </c>
      <c r="F278" s="24">
        <f>IF(A278="","",IFERROR(INDEX('00_Parametres'!$D$7:$D$13,WEEKDAY(A278,2)),""))</f>
      </c>
      <c r="G278" s="24">
        <f>IF(A278="","",IFERROR(INDEX('00_Parametres'!$E$7:$E$13,WEEKDAY(A278,2)),0))</f>
      </c>
      <c r="H278" s="11"/>
      <c r="I278" s="11"/>
      <c r="J278" s="11"/>
      <c r="K278" s="11"/>
      <c r="L278" s="12">
        <f>IF(OR(A278="",H278=""),"",IF(H278&lt;E278,IF(OR(J278="Oui",'00_Parametres'!$B$28="Oui"),H278,E278),H278))</f>
      </c>
      <c r="M278" s="12">
        <f>IF(OR(A278="",I278=""),"",IF(I278&gt;F278,IF(OR(K278="Oui",'00_Parametres'!$B$29="Oui"),I278,F278),I278))</f>
      </c>
      <c r="N278" s="25">
        <f>IF(OR(A278="",H278="",E278=""),0,MAX(0,ROUND((H278-E278)*1440,0)))</f>
      </c>
      <c r="O278" s="25">
        <f>IF(OR(A278="",I278="",F278=""),0,MAX(0,ROUND((F278-I278)*1440,0)))</f>
      </c>
      <c r="P278" s="12">
        <f>IF(OR(L278="",M278=""),0,MAX(0,ROUND((M278-L278)*24-G278,2)))</f>
      </c>
      <c r="Q278" s="12">
        <f>IF(P278=0,0,MIN(P278,'00_Parametres'!$B$23))</f>
      </c>
      <c r="R278" s="12">
        <f>IF(P278=0,0,MAX(0,P278-'00_Parametres'!$B$23))</f>
      </c>
      <c r="S278" s="10"/>
      <c r="T278" s="10"/>
      <c r="U278" s="10"/>
    </row>
    <row r="279" spans="1:21" x14ac:dyDescent="0.25">
      <c r="A279" s="18"/>
      <c r="B279" s="18"/>
      <c r="C279" s="9">
        <f>IF(B279="","",IFERROR(VLOOKUP(B279,'01_Employes'!$A$6:$Q$30,4,FALSE),"⚠ ID inconnu"))</f>
      </c>
      <c r="D279" s="9">
        <f>IF(A279="","",TEXT(A279,"dddd"))</f>
      </c>
      <c r="E279" s="24">
        <f>IF(A279="","",IFERROR(INDEX('00_Parametres'!$C$7:$C$13,WEEKDAY(A279,2)),""))</f>
      </c>
      <c r="F279" s="24">
        <f>IF(A279="","",IFERROR(INDEX('00_Parametres'!$D$7:$D$13,WEEKDAY(A279,2)),""))</f>
      </c>
      <c r="G279" s="24">
        <f>IF(A279="","",IFERROR(INDEX('00_Parametres'!$E$7:$E$13,WEEKDAY(A279,2)),0))</f>
      </c>
      <c r="H279" s="11"/>
      <c r="I279" s="11"/>
      <c r="J279" s="11"/>
      <c r="K279" s="11"/>
      <c r="L279" s="12">
        <f>IF(OR(A279="",H279=""),"",IF(H279&lt;E279,IF(OR(J279="Oui",'00_Parametres'!$B$28="Oui"),H279,E279),H279))</f>
      </c>
      <c r="M279" s="12">
        <f>IF(OR(A279="",I279=""),"",IF(I279&gt;F279,IF(OR(K279="Oui",'00_Parametres'!$B$29="Oui"),I279,F279),I279))</f>
      </c>
      <c r="N279" s="25">
        <f>IF(OR(A279="",H279="",E279=""),0,MAX(0,ROUND((H279-E279)*1440,0)))</f>
      </c>
      <c r="O279" s="25">
        <f>IF(OR(A279="",I279="",F279=""),0,MAX(0,ROUND((F279-I279)*1440,0)))</f>
      </c>
      <c r="P279" s="12">
        <f>IF(OR(L279="",M279=""),0,MAX(0,ROUND((M279-L279)*24-G279,2)))</f>
      </c>
      <c r="Q279" s="12">
        <f>IF(P279=0,0,MIN(P279,'00_Parametres'!$B$23))</f>
      </c>
      <c r="R279" s="12">
        <f>IF(P279=0,0,MAX(0,P279-'00_Parametres'!$B$23))</f>
      </c>
      <c r="S279" s="10"/>
      <c r="T279" s="10"/>
      <c r="U279" s="10"/>
    </row>
    <row r="280" spans="1:21" x14ac:dyDescent="0.25">
      <c r="A280" s="18"/>
      <c r="B280" s="18"/>
      <c r="C280" s="9">
        <f>IF(B280="","",IFERROR(VLOOKUP(B280,'01_Employes'!$A$6:$Q$30,4,FALSE),"⚠ ID inconnu"))</f>
      </c>
      <c r="D280" s="9">
        <f>IF(A280="","",TEXT(A280,"dddd"))</f>
      </c>
      <c r="E280" s="24">
        <f>IF(A280="","",IFERROR(INDEX('00_Parametres'!$C$7:$C$13,WEEKDAY(A280,2)),""))</f>
      </c>
      <c r="F280" s="24">
        <f>IF(A280="","",IFERROR(INDEX('00_Parametres'!$D$7:$D$13,WEEKDAY(A280,2)),""))</f>
      </c>
      <c r="G280" s="24">
        <f>IF(A280="","",IFERROR(INDEX('00_Parametres'!$E$7:$E$13,WEEKDAY(A280,2)),0))</f>
      </c>
      <c r="H280" s="11"/>
      <c r="I280" s="11"/>
      <c r="J280" s="11"/>
      <c r="K280" s="11"/>
      <c r="L280" s="12">
        <f>IF(OR(A280="",H280=""),"",IF(H280&lt;E280,IF(OR(J280="Oui",'00_Parametres'!$B$28="Oui"),H280,E280),H280))</f>
      </c>
      <c r="M280" s="12">
        <f>IF(OR(A280="",I280=""),"",IF(I280&gt;F280,IF(OR(K280="Oui",'00_Parametres'!$B$29="Oui"),I280,F280),I280))</f>
      </c>
      <c r="N280" s="25">
        <f>IF(OR(A280="",H280="",E280=""),0,MAX(0,ROUND((H280-E280)*1440,0)))</f>
      </c>
      <c r="O280" s="25">
        <f>IF(OR(A280="",I280="",F280=""),0,MAX(0,ROUND((F280-I280)*1440,0)))</f>
      </c>
      <c r="P280" s="12">
        <f>IF(OR(L280="",M280=""),0,MAX(0,ROUND((M280-L280)*24-G280,2)))</f>
      </c>
      <c r="Q280" s="12">
        <f>IF(P280=0,0,MIN(P280,'00_Parametres'!$B$23))</f>
      </c>
      <c r="R280" s="12">
        <f>IF(P280=0,0,MAX(0,P280-'00_Parametres'!$B$23))</f>
      </c>
      <c r="S280" s="10"/>
      <c r="T280" s="10"/>
      <c r="U280" s="10"/>
    </row>
    <row r="281" spans="1:21" x14ac:dyDescent="0.25">
      <c r="A281" s="18"/>
      <c r="B281" s="18"/>
      <c r="C281" s="9">
        <f>IF(B281="","",IFERROR(VLOOKUP(B281,'01_Employes'!$A$6:$Q$30,4,FALSE),"⚠ ID inconnu"))</f>
      </c>
      <c r="D281" s="9">
        <f>IF(A281="","",TEXT(A281,"dddd"))</f>
      </c>
      <c r="E281" s="24">
        <f>IF(A281="","",IFERROR(INDEX('00_Parametres'!$C$7:$C$13,WEEKDAY(A281,2)),""))</f>
      </c>
      <c r="F281" s="24">
        <f>IF(A281="","",IFERROR(INDEX('00_Parametres'!$D$7:$D$13,WEEKDAY(A281,2)),""))</f>
      </c>
      <c r="G281" s="24">
        <f>IF(A281="","",IFERROR(INDEX('00_Parametres'!$E$7:$E$13,WEEKDAY(A281,2)),0))</f>
      </c>
      <c r="H281" s="11"/>
      <c r="I281" s="11"/>
      <c r="J281" s="11"/>
      <c r="K281" s="11"/>
      <c r="L281" s="12">
        <f>IF(OR(A281="",H281=""),"",IF(H281&lt;E281,IF(OR(J281="Oui",'00_Parametres'!$B$28="Oui"),H281,E281),H281))</f>
      </c>
      <c r="M281" s="12">
        <f>IF(OR(A281="",I281=""),"",IF(I281&gt;F281,IF(OR(K281="Oui",'00_Parametres'!$B$29="Oui"),I281,F281),I281))</f>
      </c>
      <c r="N281" s="25">
        <f>IF(OR(A281="",H281="",E281=""),0,MAX(0,ROUND((H281-E281)*1440,0)))</f>
      </c>
      <c r="O281" s="25">
        <f>IF(OR(A281="",I281="",F281=""),0,MAX(0,ROUND((F281-I281)*1440,0)))</f>
      </c>
      <c r="P281" s="12">
        <f>IF(OR(L281="",M281=""),0,MAX(0,ROUND((M281-L281)*24-G281,2)))</f>
      </c>
      <c r="Q281" s="12">
        <f>IF(P281=0,0,MIN(P281,'00_Parametres'!$B$23))</f>
      </c>
      <c r="R281" s="12">
        <f>IF(P281=0,0,MAX(0,P281-'00_Parametres'!$B$23))</f>
      </c>
      <c r="S281" s="10"/>
      <c r="T281" s="10"/>
      <c r="U281" s="10"/>
    </row>
    <row r="282" spans="1:21" x14ac:dyDescent="0.25">
      <c r="A282" s="18"/>
      <c r="B282" s="18"/>
      <c r="C282" s="9">
        <f>IF(B282="","",IFERROR(VLOOKUP(B282,'01_Employes'!$A$6:$Q$30,4,FALSE),"⚠ ID inconnu"))</f>
      </c>
      <c r="D282" s="9">
        <f>IF(A282="","",TEXT(A282,"dddd"))</f>
      </c>
      <c r="E282" s="24">
        <f>IF(A282="","",IFERROR(INDEX('00_Parametres'!$C$7:$C$13,WEEKDAY(A282,2)),""))</f>
      </c>
      <c r="F282" s="24">
        <f>IF(A282="","",IFERROR(INDEX('00_Parametres'!$D$7:$D$13,WEEKDAY(A282,2)),""))</f>
      </c>
      <c r="G282" s="24">
        <f>IF(A282="","",IFERROR(INDEX('00_Parametres'!$E$7:$E$13,WEEKDAY(A282,2)),0))</f>
      </c>
      <c r="H282" s="11"/>
      <c r="I282" s="11"/>
      <c r="J282" s="11"/>
      <c r="K282" s="11"/>
      <c r="L282" s="12">
        <f>IF(OR(A282="",H282=""),"",IF(H282&lt;E282,IF(OR(J282="Oui",'00_Parametres'!$B$28="Oui"),H282,E282),H282))</f>
      </c>
      <c r="M282" s="12">
        <f>IF(OR(A282="",I282=""),"",IF(I282&gt;F282,IF(OR(K282="Oui",'00_Parametres'!$B$29="Oui"),I282,F282),I282))</f>
      </c>
      <c r="N282" s="25">
        <f>IF(OR(A282="",H282="",E282=""),0,MAX(0,ROUND((H282-E282)*1440,0)))</f>
      </c>
      <c r="O282" s="25">
        <f>IF(OR(A282="",I282="",F282=""),0,MAX(0,ROUND((F282-I282)*1440,0)))</f>
      </c>
      <c r="P282" s="12">
        <f>IF(OR(L282="",M282=""),0,MAX(0,ROUND((M282-L282)*24-G282,2)))</f>
      </c>
      <c r="Q282" s="12">
        <f>IF(P282=0,0,MIN(P282,'00_Parametres'!$B$23))</f>
      </c>
      <c r="R282" s="12">
        <f>IF(P282=0,0,MAX(0,P282-'00_Parametres'!$B$23))</f>
      </c>
      <c r="S282" s="10"/>
      <c r="T282" s="10"/>
      <c r="U282" s="10"/>
    </row>
    <row r="283" spans="1:21" x14ac:dyDescent="0.25">
      <c r="A283" s="18"/>
      <c r="B283" s="18"/>
      <c r="C283" s="9">
        <f>IF(B283="","",IFERROR(VLOOKUP(B283,'01_Employes'!$A$6:$Q$30,4,FALSE),"⚠ ID inconnu"))</f>
      </c>
      <c r="D283" s="9">
        <f>IF(A283="","",TEXT(A283,"dddd"))</f>
      </c>
      <c r="E283" s="24">
        <f>IF(A283="","",IFERROR(INDEX('00_Parametres'!$C$7:$C$13,WEEKDAY(A283,2)),""))</f>
      </c>
      <c r="F283" s="24">
        <f>IF(A283="","",IFERROR(INDEX('00_Parametres'!$D$7:$D$13,WEEKDAY(A283,2)),""))</f>
      </c>
      <c r="G283" s="24">
        <f>IF(A283="","",IFERROR(INDEX('00_Parametres'!$E$7:$E$13,WEEKDAY(A283,2)),0))</f>
      </c>
      <c r="H283" s="11"/>
      <c r="I283" s="11"/>
      <c r="J283" s="11"/>
      <c r="K283" s="11"/>
      <c r="L283" s="12">
        <f>IF(OR(A283="",H283=""),"",IF(H283&lt;E283,IF(OR(J283="Oui",'00_Parametres'!$B$28="Oui"),H283,E283),H283))</f>
      </c>
      <c r="M283" s="12">
        <f>IF(OR(A283="",I283=""),"",IF(I283&gt;F283,IF(OR(K283="Oui",'00_Parametres'!$B$29="Oui"),I283,F283),I283))</f>
      </c>
      <c r="N283" s="25">
        <f>IF(OR(A283="",H283="",E283=""),0,MAX(0,ROUND((H283-E283)*1440,0)))</f>
      </c>
      <c r="O283" s="25">
        <f>IF(OR(A283="",I283="",F283=""),0,MAX(0,ROUND((F283-I283)*1440,0)))</f>
      </c>
      <c r="P283" s="12">
        <f>IF(OR(L283="",M283=""),0,MAX(0,ROUND((M283-L283)*24-G283,2)))</f>
      </c>
      <c r="Q283" s="12">
        <f>IF(P283=0,0,MIN(P283,'00_Parametres'!$B$23))</f>
      </c>
      <c r="R283" s="12">
        <f>IF(P283=0,0,MAX(0,P283-'00_Parametres'!$B$23))</f>
      </c>
      <c r="S283" s="10"/>
      <c r="T283" s="10"/>
      <c r="U283" s="10"/>
    </row>
    <row r="284" spans="1:21" x14ac:dyDescent="0.25">
      <c r="A284" s="18"/>
      <c r="B284" s="18"/>
      <c r="C284" s="9">
        <f>IF(B284="","",IFERROR(VLOOKUP(B284,'01_Employes'!$A$6:$Q$30,4,FALSE),"⚠ ID inconnu"))</f>
      </c>
      <c r="D284" s="9">
        <f>IF(A284="","",TEXT(A284,"dddd"))</f>
      </c>
      <c r="E284" s="24">
        <f>IF(A284="","",IFERROR(INDEX('00_Parametres'!$C$7:$C$13,WEEKDAY(A284,2)),""))</f>
      </c>
      <c r="F284" s="24">
        <f>IF(A284="","",IFERROR(INDEX('00_Parametres'!$D$7:$D$13,WEEKDAY(A284,2)),""))</f>
      </c>
      <c r="G284" s="24">
        <f>IF(A284="","",IFERROR(INDEX('00_Parametres'!$E$7:$E$13,WEEKDAY(A284,2)),0))</f>
      </c>
      <c r="H284" s="11"/>
      <c r="I284" s="11"/>
      <c r="J284" s="11"/>
      <c r="K284" s="11"/>
      <c r="L284" s="12">
        <f>IF(OR(A284="",H284=""),"",IF(H284&lt;E284,IF(OR(J284="Oui",'00_Parametres'!$B$28="Oui"),H284,E284),H284))</f>
      </c>
      <c r="M284" s="12">
        <f>IF(OR(A284="",I284=""),"",IF(I284&gt;F284,IF(OR(K284="Oui",'00_Parametres'!$B$29="Oui"),I284,F284),I284))</f>
      </c>
      <c r="N284" s="25">
        <f>IF(OR(A284="",H284="",E284=""),0,MAX(0,ROUND((H284-E284)*1440,0)))</f>
      </c>
      <c r="O284" s="25">
        <f>IF(OR(A284="",I284="",F284=""),0,MAX(0,ROUND((F284-I284)*1440,0)))</f>
      </c>
      <c r="P284" s="12">
        <f>IF(OR(L284="",M284=""),0,MAX(0,ROUND((M284-L284)*24-G284,2)))</f>
      </c>
      <c r="Q284" s="12">
        <f>IF(P284=0,0,MIN(P284,'00_Parametres'!$B$23))</f>
      </c>
      <c r="R284" s="12">
        <f>IF(P284=0,0,MAX(0,P284-'00_Parametres'!$B$23))</f>
      </c>
      <c r="S284" s="10"/>
      <c r="T284" s="10"/>
      <c r="U284" s="10"/>
    </row>
    <row r="285" spans="1:21" x14ac:dyDescent="0.25">
      <c r="A285" s="18"/>
      <c r="B285" s="18"/>
      <c r="C285" s="9">
        <f>IF(B285="","",IFERROR(VLOOKUP(B285,'01_Employes'!$A$6:$Q$30,4,FALSE),"⚠ ID inconnu"))</f>
      </c>
      <c r="D285" s="9">
        <f>IF(A285="","",TEXT(A285,"dddd"))</f>
      </c>
      <c r="E285" s="24">
        <f>IF(A285="","",IFERROR(INDEX('00_Parametres'!$C$7:$C$13,WEEKDAY(A285,2)),""))</f>
      </c>
      <c r="F285" s="24">
        <f>IF(A285="","",IFERROR(INDEX('00_Parametres'!$D$7:$D$13,WEEKDAY(A285,2)),""))</f>
      </c>
      <c r="G285" s="24">
        <f>IF(A285="","",IFERROR(INDEX('00_Parametres'!$E$7:$E$13,WEEKDAY(A285,2)),0))</f>
      </c>
      <c r="H285" s="11"/>
      <c r="I285" s="11"/>
      <c r="J285" s="11"/>
      <c r="K285" s="11"/>
      <c r="L285" s="12">
        <f>IF(OR(A285="",H285=""),"",IF(H285&lt;E285,IF(OR(J285="Oui",'00_Parametres'!$B$28="Oui"),H285,E285),H285))</f>
      </c>
      <c r="M285" s="12">
        <f>IF(OR(A285="",I285=""),"",IF(I285&gt;F285,IF(OR(K285="Oui",'00_Parametres'!$B$29="Oui"),I285,F285),I285))</f>
      </c>
      <c r="N285" s="25">
        <f>IF(OR(A285="",H285="",E285=""),0,MAX(0,ROUND((H285-E285)*1440,0)))</f>
      </c>
      <c r="O285" s="25">
        <f>IF(OR(A285="",I285="",F285=""),0,MAX(0,ROUND((F285-I285)*1440,0)))</f>
      </c>
      <c r="P285" s="12">
        <f>IF(OR(L285="",M285=""),0,MAX(0,ROUND((M285-L285)*24-G285,2)))</f>
      </c>
      <c r="Q285" s="12">
        <f>IF(P285=0,0,MIN(P285,'00_Parametres'!$B$23))</f>
      </c>
      <c r="R285" s="12">
        <f>IF(P285=0,0,MAX(0,P285-'00_Parametres'!$B$23))</f>
      </c>
      <c r="S285" s="10"/>
      <c r="T285" s="10"/>
      <c r="U285" s="10"/>
    </row>
    <row r="286" spans="1:21" x14ac:dyDescent="0.25">
      <c r="A286" s="18"/>
      <c r="B286" s="18"/>
      <c r="C286" s="9">
        <f>IF(B286="","",IFERROR(VLOOKUP(B286,'01_Employes'!$A$6:$Q$30,4,FALSE),"⚠ ID inconnu"))</f>
      </c>
      <c r="D286" s="9">
        <f>IF(A286="","",TEXT(A286,"dddd"))</f>
      </c>
      <c r="E286" s="24">
        <f>IF(A286="","",IFERROR(INDEX('00_Parametres'!$C$7:$C$13,WEEKDAY(A286,2)),""))</f>
      </c>
      <c r="F286" s="24">
        <f>IF(A286="","",IFERROR(INDEX('00_Parametres'!$D$7:$D$13,WEEKDAY(A286,2)),""))</f>
      </c>
      <c r="G286" s="24">
        <f>IF(A286="","",IFERROR(INDEX('00_Parametres'!$E$7:$E$13,WEEKDAY(A286,2)),0))</f>
      </c>
      <c r="H286" s="11"/>
      <c r="I286" s="11"/>
      <c r="J286" s="11"/>
      <c r="K286" s="11"/>
      <c r="L286" s="12">
        <f>IF(OR(A286="",H286=""),"",IF(H286&lt;E286,IF(OR(J286="Oui",'00_Parametres'!$B$28="Oui"),H286,E286),H286))</f>
      </c>
      <c r="M286" s="12">
        <f>IF(OR(A286="",I286=""),"",IF(I286&gt;F286,IF(OR(K286="Oui",'00_Parametres'!$B$29="Oui"),I286,F286),I286))</f>
      </c>
      <c r="N286" s="25">
        <f>IF(OR(A286="",H286="",E286=""),0,MAX(0,ROUND((H286-E286)*1440,0)))</f>
      </c>
      <c r="O286" s="25">
        <f>IF(OR(A286="",I286="",F286=""),0,MAX(0,ROUND((F286-I286)*1440,0)))</f>
      </c>
      <c r="P286" s="12">
        <f>IF(OR(L286="",M286=""),0,MAX(0,ROUND((M286-L286)*24-G286,2)))</f>
      </c>
      <c r="Q286" s="12">
        <f>IF(P286=0,0,MIN(P286,'00_Parametres'!$B$23))</f>
      </c>
      <c r="R286" s="12">
        <f>IF(P286=0,0,MAX(0,P286-'00_Parametres'!$B$23))</f>
      </c>
      <c r="S286" s="10"/>
      <c r="T286" s="10"/>
      <c r="U286" s="10"/>
    </row>
    <row r="287" spans="1:21" x14ac:dyDescent="0.25">
      <c r="A287" s="18"/>
      <c r="B287" s="18"/>
      <c r="C287" s="9">
        <f>IF(B287="","",IFERROR(VLOOKUP(B287,'01_Employes'!$A$6:$Q$30,4,FALSE),"⚠ ID inconnu"))</f>
      </c>
      <c r="D287" s="9">
        <f>IF(A287="","",TEXT(A287,"dddd"))</f>
      </c>
      <c r="E287" s="24">
        <f>IF(A287="","",IFERROR(INDEX('00_Parametres'!$C$7:$C$13,WEEKDAY(A287,2)),""))</f>
      </c>
      <c r="F287" s="24">
        <f>IF(A287="","",IFERROR(INDEX('00_Parametres'!$D$7:$D$13,WEEKDAY(A287,2)),""))</f>
      </c>
      <c r="G287" s="24">
        <f>IF(A287="","",IFERROR(INDEX('00_Parametres'!$E$7:$E$13,WEEKDAY(A287,2)),0))</f>
      </c>
      <c r="H287" s="11"/>
      <c r="I287" s="11"/>
      <c r="J287" s="11"/>
      <c r="K287" s="11"/>
      <c r="L287" s="12">
        <f>IF(OR(A287="",H287=""),"",IF(H287&lt;E287,IF(OR(J287="Oui",'00_Parametres'!$B$28="Oui"),H287,E287),H287))</f>
      </c>
      <c r="M287" s="12">
        <f>IF(OR(A287="",I287=""),"",IF(I287&gt;F287,IF(OR(K287="Oui",'00_Parametres'!$B$29="Oui"),I287,F287),I287))</f>
      </c>
      <c r="N287" s="25">
        <f>IF(OR(A287="",H287="",E287=""),0,MAX(0,ROUND((H287-E287)*1440,0)))</f>
      </c>
      <c r="O287" s="25">
        <f>IF(OR(A287="",I287="",F287=""),0,MAX(0,ROUND((F287-I287)*1440,0)))</f>
      </c>
      <c r="P287" s="12">
        <f>IF(OR(L287="",M287=""),0,MAX(0,ROUND((M287-L287)*24-G287,2)))</f>
      </c>
      <c r="Q287" s="12">
        <f>IF(P287=0,0,MIN(P287,'00_Parametres'!$B$23))</f>
      </c>
      <c r="R287" s="12">
        <f>IF(P287=0,0,MAX(0,P287-'00_Parametres'!$B$23))</f>
      </c>
      <c r="S287" s="10"/>
      <c r="T287" s="10"/>
      <c r="U287" s="10"/>
    </row>
    <row r="288" spans="1:21" x14ac:dyDescent="0.25">
      <c r="A288" s="18"/>
      <c r="B288" s="18"/>
      <c r="C288" s="9">
        <f>IF(B288="","",IFERROR(VLOOKUP(B288,'01_Employes'!$A$6:$Q$30,4,FALSE),"⚠ ID inconnu"))</f>
      </c>
      <c r="D288" s="9">
        <f>IF(A288="","",TEXT(A288,"dddd"))</f>
      </c>
      <c r="E288" s="24">
        <f>IF(A288="","",IFERROR(INDEX('00_Parametres'!$C$7:$C$13,WEEKDAY(A288,2)),""))</f>
      </c>
      <c r="F288" s="24">
        <f>IF(A288="","",IFERROR(INDEX('00_Parametres'!$D$7:$D$13,WEEKDAY(A288,2)),""))</f>
      </c>
      <c r="G288" s="24">
        <f>IF(A288="","",IFERROR(INDEX('00_Parametres'!$E$7:$E$13,WEEKDAY(A288,2)),0))</f>
      </c>
      <c r="H288" s="11"/>
      <c r="I288" s="11"/>
      <c r="J288" s="11"/>
      <c r="K288" s="11"/>
      <c r="L288" s="12">
        <f>IF(OR(A288="",H288=""),"",IF(H288&lt;E288,IF(OR(J288="Oui",'00_Parametres'!$B$28="Oui"),H288,E288),H288))</f>
      </c>
      <c r="M288" s="12">
        <f>IF(OR(A288="",I288=""),"",IF(I288&gt;F288,IF(OR(K288="Oui",'00_Parametres'!$B$29="Oui"),I288,F288),I288))</f>
      </c>
      <c r="N288" s="25">
        <f>IF(OR(A288="",H288="",E288=""),0,MAX(0,ROUND((H288-E288)*1440,0)))</f>
      </c>
      <c r="O288" s="25">
        <f>IF(OR(A288="",I288="",F288=""),0,MAX(0,ROUND((F288-I288)*1440,0)))</f>
      </c>
      <c r="P288" s="12">
        <f>IF(OR(L288="",M288=""),0,MAX(0,ROUND((M288-L288)*24-G288,2)))</f>
      </c>
      <c r="Q288" s="12">
        <f>IF(P288=0,0,MIN(P288,'00_Parametres'!$B$23))</f>
      </c>
      <c r="R288" s="12">
        <f>IF(P288=0,0,MAX(0,P288-'00_Parametres'!$B$23))</f>
      </c>
      <c r="S288" s="10"/>
      <c r="T288" s="10"/>
      <c r="U288" s="10"/>
    </row>
    <row r="289" spans="1:21" x14ac:dyDescent="0.25">
      <c r="A289" s="18"/>
      <c r="B289" s="18"/>
      <c r="C289" s="9">
        <f>IF(B289="","",IFERROR(VLOOKUP(B289,'01_Employes'!$A$6:$Q$30,4,FALSE),"⚠ ID inconnu"))</f>
      </c>
      <c r="D289" s="9">
        <f>IF(A289="","",TEXT(A289,"dddd"))</f>
      </c>
      <c r="E289" s="24">
        <f>IF(A289="","",IFERROR(INDEX('00_Parametres'!$C$7:$C$13,WEEKDAY(A289,2)),""))</f>
      </c>
      <c r="F289" s="24">
        <f>IF(A289="","",IFERROR(INDEX('00_Parametres'!$D$7:$D$13,WEEKDAY(A289,2)),""))</f>
      </c>
      <c r="G289" s="24">
        <f>IF(A289="","",IFERROR(INDEX('00_Parametres'!$E$7:$E$13,WEEKDAY(A289,2)),0))</f>
      </c>
      <c r="H289" s="11"/>
      <c r="I289" s="11"/>
      <c r="J289" s="11"/>
      <c r="K289" s="11"/>
      <c r="L289" s="12">
        <f>IF(OR(A289="",H289=""),"",IF(H289&lt;E289,IF(OR(J289="Oui",'00_Parametres'!$B$28="Oui"),H289,E289),H289))</f>
      </c>
      <c r="M289" s="12">
        <f>IF(OR(A289="",I289=""),"",IF(I289&gt;F289,IF(OR(K289="Oui",'00_Parametres'!$B$29="Oui"),I289,F289),I289))</f>
      </c>
      <c r="N289" s="25">
        <f>IF(OR(A289="",H289="",E289=""),0,MAX(0,ROUND((H289-E289)*1440,0)))</f>
      </c>
      <c r="O289" s="25">
        <f>IF(OR(A289="",I289="",F289=""),0,MAX(0,ROUND((F289-I289)*1440,0)))</f>
      </c>
      <c r="P289" s="12">
        <f>IF(OR(L289="",M289=""),0,MAX(0,ROUND((M289-L289)*24-G289,2)))</f>
      </c>
      <c r="Q289" s="12">
        <f>IF(P289=0,0,MIN(P289,'00_Parametres'!$B$23))</f>
      </c>
      <c r="R289" s="12">
        <f>IF(P289=0,0,MAX(0,P289-'00_Parametres'!$B$23))</f>
      </c>
      <c r="S289" s="10"/>
      <c r="T289" s="10"/>
      <c r="U289" s="10"/>
    </row>
    <row r="290" spans="1:21" x14ac:dyDescent="0.25">
      <c r="A290" s="18"/>
      <c r="B290" s="18"/>
      <c r="C290" s="9">
        <f>IF(B290="","",IFERROR(VLOOKUP(B290,'01_Employes'!$A$6:$Q$30,4,FALSE),"⚠ ID inconnu"))</f>
      </c>
      <c r="D290" s="9">
        <f>IF(A290="","",TEXT(A290,"dddd"))</f>
      </c>
      <c r="E290" s="24">
        <f>IF(A290="","",IFERROR(INDEX('00_Parametres'!$C$7:$C$13,WEEKDAY(A290,2)),""))</f>
      </c>
      <c r="F290" s="24">
        <f>IF(A290="","",IFERROR(INDEX('00_Parametres'!$D$7:$D$13,WEEKDAY(A290,2)),""))</f>
      </c>
      <c r="G290" s="24">
        <f>IF(A290="","",IFERROR(INDEX('00_Parametres'!$E$7:$E$13,WEEKDAY(A290,2)),0))</f>
      </c>
      <c r="H290" s="11"/>
      <c r="I290" s="11"/>
      <c r="J290" s="11"/>
      <c r="K290" s="11"/>
      <c r="L290" s="12">
        <f>IF(OR(A290="",H290=""),"",IF(H290&lt;E290,IF(OR(J290="Oui",'00_Parametres'!$B$28="Oui"),H290,E290),H290))</f>
      </c>
      <c r="M290" s="12">
        <f>IF(OR(A290="",I290=""),"",IF(I290&gt;F290,IF(OR(K290="Oui",'00_Parametres'!$B$29="Oui"),I290,F290),I290))</f>
      </c>
      <c r="N290" s="25">
        <f>IF(OR(A290="",H290="",E290=""),0,MAX(0,ROUND((H290-E290)*1440,0)))</f>
      </c>
      <c r="O290" s="25">
        <f>IF(OR(A290="",I290="",F290=""),0,MAX(0,ROUND((F290-I290)*1440,0)))</f>
      </c>
      <c r="P290" s="12">
        <f>IF(OR(L290="",M290=""),0,MAX(0,ROUND((M290-L290)*24-G290,2)))</f>
      </c>
      <c r="Q290" s="12">
        <f>IF(P290=0,0,MIN(P290,'00_Parametres'!$B$23))</f>
      </c>
      <c r="R290" s="12">
        <f>IF(P290=0,0,MAX(0,P290-'00_Parametres'!$B$23))</f>
      </c>
      <c r="S290" s="10"/>
      <c r="T290" s="10"/>
      <c r="U290" s="10"/>
    </row>
    <row r="291" spans="1:21" x14ac:dyDescent="0.25">
      <c r="A291" s="18"/>
      <c r="B291" s="18"/>
      <c r="C291" s="9">
        <f>IF(B291="","",IFERROR(VLOOKUP(B291,'01_Employes'!$A$6:$Q$30,4,FALSE),"⚠ ID inconnu"))</f>
      </c>
      <c r="D291" s="9">
        <f>IF(A291="","",TEXT(A291,"dddd"))</f>
      </c>
      <c r="E291" s="24">
        <f>IF(A291="","",IFERROR(INDEX('00_Parametres'!$C$7:$C$13,WEEKDAY(A291,2)),""))</f>
      </c>
      <c r="F291" s="24">
        <f>IF(A291="","",IFERROR(INDEX('00_Parametres'!$D$7:$D$13,WEEKDAY(A291,2)),""))</f>
      </c>
      <c r="G291" s="24">
        <f>IF(A291="","",IFERROR(INDEX('00_Parametres'!$E$7:$E$13,WEEKDAY(A291,2)),0))</f>
      </c>
      <c r="H291" s="11"/>
      <c r="I291" s="11"/>
      <c r="J291" s="11"/>
      <c r="K291" s="11"/>
      <c r="L291" s="12">
        <f>IF(OR(A291="",H291=""),"",IF(H291&lt;E291,IF(OR(J291="Oui",'00_Parametres'!$B$28="Oui"),H291,E291),H291))</f>
      </c>
      <c r="M291" s="12">
        <f>IF(OR(A291="",I291=""),"",IF(I291&gt;F291,IF(OR(K291="Oui",'00_Parametres'!$B$29="Oui"),I291,F291),I291))</f>
      </c>
      <c r="N291" s="25">
        <f>IF(OR(A291="",H291="",E291=""),0,MAX(0,ROUND((H291-E291)*1440,0)))</f>
      </c>
      <c r="O291" s="25">
        <f>IF(OR(A291="",I291="",F291=""),0,MAX(0,ROUND((F291-I291)*1440,0)))</f>
      </c>
      <c r="P291" s="12">
        <f>IF(OR(L291="",M291=""),0,MAX(0,ROUND((M291-L291)*24-G291,2)))</f>
      </c>
      <c r="Q291" s="12">
        <f>IF(P291=0,0,MIN(P291,'00_Parametres'!$B$23))</f>
      </c>
      <c r="R291" s="12">
        <f>IF(P291=0,0,MAX(0,P291-'00_Parametres'!$B$23))</f>
      </c>
      <c r="S291" s="10"/>
      <c r="T291" s="10"/>
      <c r="U291" s="10"/>
    </row>
    <row r="292" spans="1:21" x14ac:dyDescent="0.25">
      <c r="A292" s="18"/>
      <c r="B292" s="18"/>
      <c r="C292" s="9">
        <f>IF(B292="","",IFERROR(VLOOKUP(B292,'01_Employes'!$A$6:$Q$30,4,FALSE),"⚠ ID inconnu"))</f>
      </c>
      <c r="D292" s="9">
        <f>IF(A292="","",TEXT(A292,"dddd"))</f>
      </c>
      <c r="E292" s="24">
        <f>IF(A292="","",IFERROR(INDEX('00_Parametres'!$C$7:$C$13,WEEKDAY(A292,2)),""))</f>
      </c>
      <c r="F292" s="24">
        <f>IF(A292="","",IFERROR(INDEX('00_Parametres'!$D$7:$D$13,WEEKDAY(A292,2)),""))</f>
      </c>
      <c r="G292" s="24">
        <f>IF(A292="","",IFERROR(INDEX('00_Parametres'!$E$7:$E$13,WEEKDAY(A292,2)),0))</f>
      </c>
      <c r="H292" s="11"/>
      <c r="I292" s="11"/>
      <c r="J292" s="11"/>
      <c r="K292" s="11"/>
      <c r="L292" s="12">
        <f>IF(OR(A292="",H292=""),"",IF(H292&lt;E292,IF(OR(J292="Oui",'00_Parametres'!$B$28="Oui"),H292,E292),H292))</f>
      </c>
      <c r="M292" s="12">
        <f>IF(OR(A292="",I292=""),"",IF(I292&gt;F292,IF(OR(K292="Oui",'00_Parametres'!$B$29="Oui"),I292,F292),I292))</f>
      </c>
      <c r="N292" s="25">
        <f>IF(OR(A292="",H292="",E292=""),0,MAX(0,ROUND((H292-E292)*1440,0)))</f>
      </c>
      <c r="O292" s="25">
        <f>IF(OR(A292="",I292="",F292=""),0,MAX(0,ROUND((F292-I292)*1440,0)))</f>
      </c>
      <c r="P292" s="12">
        <f>IF(OR(L292="",M292=""),0,MAX(0,ROUND((M292-L292)*24-G292,2)))</f>
      </c>
      <c r="Q292" s="12">
        <f>IF(P292=0,0,MIN(P292,'00_Parametres'!$B$23))</f>
      </c>
      <c r="R292" s="12">
        <f>IF(P292=0,0,MAX(0,P292-'00_Parametres'!$B$23))</f>
      </c>
      <c r="S292" s="10"/>
      <c r="T292" s="10"/>
      <c r="U292" s="10"/>
    </row>
    <row r="293" spans="1:21" x14ac:dyDescent="0.25">
      <c r="A293" s="18"/>
      <c r="B293" s="18"/>
      <c r="C293" s="9">
        <f>IF(B293="","",IFERROR(VLOOKUP(B293,'01_Employes'!$A$6:$Q$30,4,FALSE),"⚠ ID inconnu"))</f>
      </c>
      <c r="D293" s="9">
        <f>IF(A293="","",TEXT(A293,"dddd"))</f>
      </c>
      <c r="E293" s="24">
        <f>IF(A293="","",IFERROR(INDEX('00_Parametres'!$C$7:$C$13,WEEKDAY(A293,2)),""))</f>
      </c>
      <c r="F293" s="24">
        <f>IF(A293="","",IFERROR(INDEX('00_Parametres'!$D$7:$D$13,WEEKDAY(A293,2)),""))</f>
      </c>
      <c r="G293" s="24">
        <f>IF(A293="","",IFERROR(INDEX('00_Parametres'!$E$7:$E$13,WEEKDAY(A293,2)),0))</f>
      </c>
      <c r="H293" s="11"/>
      <c r="I293" s="11"/>
      <c r="J293" s="11"/>
      <c r="K293" s="11"/>
      <c r="L293" s="12">
        <f>IF(OR(A293="",H293=""),"",IF(H293&lt;E293,IF(OR(J293="Oui",'00_Parametres'!$B$28="Oui"),H293,E293),H293))</f>
      </c>
      <c r="M293" s="12">
        <f>IF(OR(A293="",I293=""),"",IF(I293&gt;F293,IF(OR(K293="Oui",'00_Parametres'!$B$29="Oui"),I293,F293),I293))</f>
      </c>
      <c r="N293" s="25">
        <f>IF(OR(A293="",H293="",E293=""),0,MAX(0,ROUND((H293-E293)*1440,0)))</f>
      </c>
      <c r="O293" s="25">
        <f>IF(OR(A293="",I293="",F293=""),0,MAX(0,ROUND((F293-I293)*1440,0)))</f>
      </c>
      <c r="P293" s="12">
        <f>IF(OR(L293="",M293=""),0,MAX(0,ROUND((M293-L293)*24-G293,2)))</f>
      </c>
      <c r="Q293" s="12">
        <f>IF(P293=0,0,MIN(P293,'00_Parametres'!$B$23))</f>
      </c>
      <c r="R293" s="12">
        <f>IF(P293=0,0,MAX(0,P293-'00_Parametres'!$B$23))</f>
      </c>
      <c r="S293" s="10"/>
      <c r="T293" s="10"/>
      <c r="U293" s="10"/>
    </row>
    <row r="294" spans="1:21" x14ac:dyDescent="0.25">
      <c r="A294" s="18"/>
      <c r="B294" s="18"/>
      <c r="C294" s="9">
        <f>IF(B294="","",IFERROR(VLOOKUP(B294,'01_Employes'!$A$6:$Q$30,4,FALSE),"⚠ ID inconnu"))</f>
      </c>
      <c r="D294" s="9">
        <f>IF(A294="","",TEXT(A294,"dddd"))</f>
      </c>
      <c r="E294" s="24">
        <f>IF(A294="","",IFERROR(INDEX('00_Parametres'!$C$7:$C$13,WEEKDAY(A294,2)),""))</f>
      </c>
      <c r="F294" s="24">
        <f>IF(A294="","",IFERROR(INDEX('00_Parametres'!$D$7:$D$13,WEEKDAY(A294,2)),""))</f>
      </c>
      <c r="G294" s="24">
        <f>IF(A294="","",IFERROR(INDEX('00_Parametres'!$E$7:$E$13,WEEKDAY(A294,2)),0))</f>
      </c>
      <c r="H294" s="11"/>
      <c r="I294" s="11"/>
      <c r="J294" s="11"/>
      <c r="K294" s="11"/>
      <c r="L294" s="12">
        <f>IF(OR(A294="",H294=""),"",IF(H294&lt;E294,IF(OR(J294="Oui",'00_Parametres'!$B$28="Oui"),H294,E294),H294))</f>
      </c>
      <c r="M294" s="12">
        <f>IF(OR(A294="",I294=""),"",IF(I294&gt;F294,IF(OR(K294="Oui",'00_Parametres'!$B$29="Oui"),I294,F294),I294))</f>
      </c>
      <c r="N294" s="25">
        <f>IF(OR(A294="",H294="",E294=""),0,MAX(0,ROUND((H294-E294)*1440,0)))</f>
      </c>
      <c r="O294" s="25">
        <f>IF(OR(A294="",I294="",F294=""),0,MAX(0,ROUND((F294-I294)*1440,0)))</f>
      </c>
      <c r="P294" s="12">
        <f>IF(OR(L294="",M294=""),0,MAX(0,ROUND((M294-L294)*24-G294,2)))</f>
      </c>
      <c r="Q294" s="12">
        <f>IF(P294=0,0,MIN(P294,'00_Parametres'!$B$23))</f>
      </c>
      <c r="R294" s="12">
        <f>IF(P294=0,0,MAX(0,P294-'00_Parametres'!$B$23))</f>
      </c>
      <c r="S294" s="10"/>
      <c r="T294" s="10"/>
      <c r="U294" s="10"/>
    </row>
    <row r="295" spans="1:21" x14ac:dyDescent="0.25">
      <c r="A295" s="18"/>
      <c r="B295" s="18"/>
      <c r="C295" s="9">
        <f>IF(B295="","",IFERROR(VLOOKUP(B295,'01_Employes'!$A$6:$Q$30,4,FALSE),"⚠ ID inconnu"))</f>
      </c>
      <c r="D295" s="9">
        <f>IF(A295="","",TEXT(A295,"dddd"))</f>
      </c>
      <c r="E295" s="24">
        <f>IF(A295="","",IFERROR(INDEX('00_Parametres'!$C$7:$C$13,WEEKDAY(A295,2)),""))</f>
      </c>
      <c r="F295" s="24">
        <f>IF(A295="","",IFERROR(INDEX('00_Parametres'!$D$7:$D$13,WEEKDAY(A295,2)),""))</f>
      </c>
      <c r="G295" s="24">
        <f>IF(A295="","",IFERROR(INDEX('00_Parametres'!$E$7:$E$13,WEEKDAY(A295,2)),0))</f>
      </c>
      <c r="H295" s="11"/>
      <c r="I295" s="11"/>
      <c r="J295" s="11"/>
      <c r="K295" s="11"/>
      <c r="L295" s="12">
        <f>IF(OR(A295="",H295=""),"",IF(H295&lt;E295,IF(OR(J295="Oui",'00_Parametres'!$B$28="Oui"),H295,E295),H295))</f>
      </c>
      <c r="M295" s="12">
        <f>IF(OR(A295="",I295=""),"",IF(I295&gt;F295,IF(OR(K295="Oui",'00_Parametres'!$B$29="Oui"),I295,F295),I295))</f>
      </c>
      <c r="N295" s="25">
        <f>IF(OR(A295="",H295="",E295=""),0,MAX(0,ROUND((H295-E295)*1440,0)))</f>
      </c>
      <c r="O295" s="25">
        <f>IF(OR(A295="",I295="",F295=""),0,MAX(0,ROUND((F295-I295)*1440,0)))</f>
      </c>
      <c r="P295" s="12">
        <f>IF(OR(L295="",M295=""),0,MAX(0,ROUND((M295-L295)*24-G295,2)))</f>
      </c>
      <c r="Q295" s="12">
        <f>IF(P295=0,0,MIN(P295,'00_Parametres'!$B$23))</f>
      </c>
      <c r="R295" s="12">
        <f>IF(P295=0,0,MAX(0,P295-'00_Parametres'!$B$23))</f>
      </c>
      <c r="S295" s="10"/>
      <c r="T295" s="10"/>
      <c r="U295" s="10"/>
    </row>
    <row r="296" spans="1:21" x14ac:dyDescent="0.25">
      <c r="A296" s="18"/>
      <c r="B296" s="18"/>
      <c r="C296" s="9">
        <f>IF(B296="","",IFERROR(VLOOKUP(B296,'01_Employes'!$A$6:$Q$30,4,FALSE),"⚠ ID inconnu"))</f>
      </c>
      <c r="D296" s="9">
        <f>IF(A296="","",TEXT(A296,"dddd"))</f>
      </c>
      <c r="E296" s="24">
        <f>IF(A296="","",IFERROR(INDEX('00_Parametres'!$C$7:$C$13,WEEKDAY(A296,2)),""))</f>
      </c>
      <c r="F296" s="24">
        <f>IF(A296="","",IFERROR(INDEX('00_Parametres'!$D$7:$D$13,WEEKDAY(A296,2)),""))</f>
      </c>
      <c r="G296" s="24">
        <f>IF(A296="","",IFERROR(INDEX('00_Parametres'!$E$7:$E$13,WEEKDAY(A296,2)),0))</f>
      </c>
      <c r="H296" s="11"/>
      <c r="I296" s="11"/>
      <c r="J296" s="11"/>
      <c r="K296" s="11"/>
      <c r="L296" s="12">
        <f>IF(OR(A296="",H296=""),"",IF(H296&lt;E296,IF(OR(J296="Oui",'00_Parametres'!$B$28="Oui"),H296,E296),H296))</f>
      </c>
      <c r="M296" s="12">
        <f>IF(OR(A296="",I296=""),"",IF(I296&gt;F296,IF(OR(K296="Oui",'00_Parametres'!$B$29="Oui"),I296,F296),I296))</f>
      </c>
      <c r="N296" s="25">
        <f>IF(OR(A296="",H296="",E296=""),0,MAX(0,ROUND((H296-E296)*1440,0)))</f>
      </c>
      <c r="O296" s="25">
        <f>IF(OR(A296="",I296="",F296=""),0,MAX(0,ROUND((F296-I296)*1440,0)))</f>
      </c>
      <c r="P296" s="12">
        <f>IF(OR(L296="",M296=""),0,MAX(0,ROUND((M296-L296)*24-G296,2)))</f>
      </c>
      <c r="Q296" s="12">
        <f>IF(P296=0,0,MIN(P296,'00_Parametres'!$B$23))</f>
      </c>
      <c r="R296" s="12">
        <f>IF(P296=0,0,MAX(0,P296-'00_Parametres'!$B$23))</f>
      </c>
      <c r="S296" s="10"/>
      <c r="T296" s="10"/>
      <c r="U296" s="10"/>
    </row>
    <row r="297" spans="1:21" x14ac:dyDescent="0.25">
      <c r="A297" s="18"/>
      <c r="B297" s="18"/>
      <c r="C297" s="9">
        <f>IF(B297="","",IFERROR(VLOOKUP(B297,'01_Employes'!$A$6:$Q$30,4,FALSE),"⚠ ID inconnu"))</f>
      </c>
      <c r="D297" s="9">
        <f>IF(A297="","",TEXT(A297,"dddd"))</f>
      </c>
      <c r="E297" s="24">
        <f>IF(A297="","",IFERROR(INDEX('00_Parametres'!$C$7:$C$13,WEEKDAY(A297,2)),""))</f>
      </c>
      <c r="F297" s="24">
        <f>IF(A297="","",IFERROR(INDEX('00_Parametres'!$D$7:$D$13,WEEKDAY(A297,2)),""))</f>
      </c>
      <c r="G297" s="24">
        <f>IF(A297="","",IFERROR(INDEX('00_Parametres'!$E$7:$E$13,WEEKDAY(A297,2)),0))</f>
      </c>
      <c r="H297" s="11"/>
      <c r="I297" s="11"/>
      <c r="J297" s="11"/>
      <c r="K297" s="11"/>
      <c r="L297" s="12">
        <f>IF(OR(A297="",H297=""),"",IF(H297&lt;E297,IF(OR(J297="Oui",'00_Parametres'!$B$28="Oui"),H297,E297),H297))</f>
      </c>
      <c r="M297" s="12">
        <f>IF(OR(A297="",I297=""),"",IF(I297&gt;F297,IF(OR(K297="Oui",'00_Parametres'!$B$29="Oui"),I297,F297),I297))</f>
      </c>
      <c r="N297" s="25">
        <f>IF(OR(A297="",H297="",E297=""),0,MAX(0,ROUND((H297-E297)*1440,0)))</f>
      </c>
      <c r="O297" s="25">
        <f>IF(OR(A297="",I297="",F297=""),0,MAX(0,ROUND((F297-I297)*1440,0)))</f>
      </c>
      <c r="P297" s="12">
        <f>IF(OR(L297="",M297=""),0,MAX(0,ROUND((M297-L297)*24-G297,2)))</f>
      </c>
      <c r="Q297" s="12">
        <f>IF(P297=0,0,MIN(P297,'00_Parametres'!$B$23))</f>
      </c>
      <c r="R297" s="12">
        <f>IF(P297=0,0,MAX(0,P297-'00_Parametres'!$B$23))</f>
      </c>
      <c r="S297" s="10"/>
      <c r="T297" s="10"/>
      <c r="U297" s="10"/>
    </row>
    <row r="298" spans="1:21" x14ac:dyDescent="0.25">
      <c r="A298" s="18"/>
      <c r="B298" s="18"/>
      <c r="C298" s="9">
        <f>IF(B298="","",IFERROR(VLOOKUP(B298,'01_Employes'!$A$6:$Q$30,4,FALSE),"⚠ ID inconnu"))</f>
      </c>
      <c r="D298" s="9">
        <f>IF(A298="","",TEXT(A298,"dddd"))</f>
      </c>
      <c r="E298" s="24">
        <f>IF(A298="","",IFERROR(INDEX('00_Parametres'!$C$7:$C$13,WEEKDAY(A298,2)),""))</f>
      </c>
      <c r="F298" s="24">
        <f>IF(A298="","",IFERROR(INDEX('00_Parametres'!$D$7:$D$13,WEEKDAY(A298,2)),""))</f>
      </c>
      <c r="G298" s="24">
        <f>IF(A298="","",IFERROR(INDEX('00_Parametres'!$E$7:$E$13,WEEKDAY(A298,2)),0))</f>
      </c>
      <c r="H298" s="11"/>
      <c r="I298" s="11"/>
      <c r="J298" s="11"/>
      <c r="K298" s="11"/>
      <c r="L298" s="12">
        <f>IF(OR(A298="",H298=""),"",IF(H298&lt;E298,IF(OR(J298="Oui",'00_Parametres'!$B$28="Oui"),H298,E298),H298))</f>
      </c>
      <c r="M298" s="12">
        <f>IF(OR(A298="",I298=""),"",IF(I298&gt;F298,IF(OR(K298="Oui",'00_Parametres'!$B$29="Oui"),I298,F298),I298))</f>
      </c>
      <c r="N298" s="25">
        <f>IF(OR(A298="",H298="",E298=""),0,MAX(0,ROUND((H298-E298)*1440,0)))</f>
      </c>
      <c r="O298" s="25">
        <f>IF(OR(A298="",I298="",F298=""),0,MAX(0,ROUND((F298-I298)*1440,0)))</f>
      </c>
      <c r="P298" s="12">
        <f>IF(OR(L298="",M298=""),0,MAX(0,ROUND((M298-L298)*24-G298,2)))</f>
      </c>
      <c r="Q298" s="12">
        <f>IF(P298=0,0,MIN(P298,'00_Parametres'!$B$23))</f>
      </c>
      <c r="R298" s="12">
        <f>IF(P298=0,0,MAX(0,P298-'00_Parametres'!$B$23))</f>
      </c>
      <c r="S298" s="10"/>
      <c r="T298" s="10"/>
      <c r="U298" s="10"/>
    </row>
    <row r="299" spans="1:21" x14ac:dyDescent="0.25">
      <c r="A299" s="18"/>
      <c r="B299" s="18"/>
      <c r="C299" s="9">
        <f>IF(B299="","",IFERROR(VLOOKUP(B299,'01_Employes'!$A$6:$Q$30,4,FALSE),"⚠ ID inconnu"))</f>
      </c>
      <c r="D299" s="9">
        <f>IF(A299="","",TEXT(A299,"dddd"))</f>
      </c>
      <c r="E299" s="24">
        <f>IF(A299="","",IFERROR(INDEX('00_Parametres'!$C$7:$C$13,WEEKDAY(A299,2)),""))</f>
      </c>
      <c r="F299" s="24">
        <f>IF(A299="","",IFERROR(INDEX('00_Parametres'!$D$7:$D$13,WEEKDAY(A299,2)),""))</f>
      </c>
      <c r="G299" s="24">
        <f>IF(A299="","",IFERROR(INDEX('00_Parametres'!$E$7:$E$13,WEEKDAY(A299,2)),0))</f>
      </c>
      <c r="H299" s="11"/>
      <c r="I299" s="11"/>
      <c r="J299" s="11"/>
      <c r="K299" s="11"/>
      <c r="L299" s="12">
        <f>IF(OR(A299="",H299=""),"",IF(H299&lt;E299,IF(OR(J299="Oui",'00_Parametres'!$B$28="Oui"),H299,E299),H299))</f>
      </c>
      <c r="M299" s="12">
        <f>IF(OR(A299="",I299=""),"",IF(I299&gt;F299,IF(OR(K299="Oui",'00_Parametres'!$B$29="Oui"),I299,F299),I299))</f>
      </c>
      <c r="N299" s="25">
        <f>IF(OR(A299="",H299="",E299=""),0,MAX(0,ROUND((H299-E299)*1440,0)))</f>
      </c>
      <c r="O299" s="25">
        <f>IF(OR(A299="",I299="",F299=""),0,MAX(0,ROUND((F299-I299)*1440,0)))</f>
      </c>
      <c r="P299" s="12">
        <f>IF(OR(L299="",M299=""),0,MAX(0,ROUND((M299-L299)*24-G299,2)))</f>
      </c>
      <c r="Q299" s="12">
        <f>IF(P299=0,0,MIN(P299,'00_Parametres'!$B$23))</f>
      </c>
      <c r="R299" s="12">
        <f>IF(P299=0,0,MAX(0,P299-'00_Parametres'!$B$23))</f>
      </c>
      <c r="S299" s="10"/>
      <c r="T299" s="10"/>
      <c r="U299" s="10"/>
    </row>
    <row r="300" spans="1:21" x14ac:dyDescent="0.25">
      <c r="A300" s="18"/>
      <c r="B300" s="18"/>
      <c r="C300" s="9">
        <f>IF(B300="","",IFERROR(VLOOKUP(B300,'01_Employes'!$A$6:$Q$30,4,FALSE),"⚠ ID inconnu"))</f>
      </c>
      <c r="D300" s="9">
        <f>IF(A300="","",TEXT(A300,"dddd"))</f>
      </c>
      <c r="E300" s="24">
        <f>IF(A300="","",IFERROR(INDEX('00_Parametres'!$C$7:$C$13,WEEKDAY(A300,2)),""))</f>
      </c>
      <c r="F300" s="24">
        <f>IF(A300="","",IFERROR(INDEX('00_Parametres'!$D$7:$D$13,WEEKDAY(A300,2)),""))</f>
      </c>
      <c r="G300" s="24">
        <f>IF(A300="","",IFERROR(INDEX('00_Parametres'!$E$7:$E$13,WEEKDAY(A300,2)),0))</f>
      </c>
      <c r="H300" s="11"/>
      <c r="I300" s="11"/>
      <c r="J300" s="11"/>
      <c r="K300" s="11"/>
      <c r="L300" s="12">
        <f>IF(OR(A300="",H300=""),"",IF(H300&lt;E300,IF(OR(J300="Oui",'00_Parametres'!$B$28="Oui"),H300,E300),H300))</f>
      </c>
      <c r="M300" s="12">
        <f>IF(OR(A300="",I300=""),"",IF(I300&gt;F300,IF(OR(K300="Oui",'00_Parametres'!$B$29="Oui"),I300,F300),I300))</f>
      </c>
      <c r="N300" s="25">
        <f>IF(OR(A300="",H300="",E300=""),0,MAX(0,ROUND((H300-E300)*1440,0)))</f>
      </c>
      <c r="O300" s="25">
        <f>IF(OR(A300="",I300="",F300=""),0,MAX(0,ROUND((F300-I300)*1440,0)))</f>
      </c>
      <c r="P300" s="12">
        <f>IF(OR(L300="",M300=""),0,MAX(0,ROUND((M300-L300)*24-G300,2)))</f>
      </c>
      <c r="Q300" s="12">
        <f>IF(P300=0,0,MIN(P300,'00_Parametres'!$B$23))</f>
      </c>
      <c r="R300" s="12">
        <f>IF(P300=0,0,MAX(0,P300-'00_Parametres'!$B$23))</f>
      </c>
      <c r="S300" s="10"/>
      <c r="T300" s="10"/>
      <c r="U300" s="10"/>
    </row>
    <row r="301" spans="1:21" x14ac:dyDescent="0.25">
      <c r="A301" s="18"/>
      <c r="B301" s="18"/>
      <c r="C301" s="9">
        <f>IF(B301="","",IFERROR(VLOOKUP(B301,'01_Employes'!$A$6:$Q$30,4,FALSE),"⚠ ID inconnu"))</f>
      </c>
      <c r="D301" s="9">
        <f>IF(A301="","",TEXT(A301,"dddd"))</f>
      </c>
      <c r="E301" s="24">
        <f>IF(A301="","",IFERROR(INDEX('00_Parametres'!$C$7:$C$13,WEEKDAY(A301,2)),""))</f>
      </c>
      <c r="F301" s="24">
        <f>IF(A301="","",IFERROR(INDEX('00_Parametres'!$D$7:$D$13,WEEKDAY(A301,2)),""))</f>
      </c>
      <c r="G301" s="24">
        <f>IF(A301="","",IFERROR(INDEX('00_Parametres'!$E$7:$E$13,WEEKDAY(A301,2)),0))</f>
      </c>
      <c r="H301" s="11"/>
      <c r="I301" s="11"/>
      <c r="J301" s="11"/>
      <c r="K301" s="11"/>
      <c r="L301" s="12">
        <f>IF(OR(A301="",H301=""),"",IF(H301&lt;E301,IF(OR(J301="Oui",'00_Parametres'!$B$28="Oui"),H301,E301),H301))</f>
      </c>
      <c r="M301" s="12">
        <f>IF(OR(A301="",I301=""),"",IF(I301&gt;F301,IF(OR(K301="Oui",'00_Parametres'!$B$29="Oui"),I301,F301),I301))</f>
      </c>
      <c r="N301" s="25">
        <f>IF(OR(A301="",H301="",E301=""),0,MAX(0,ROUND((H301-E301)*1440,0)))</f>
      </c>
      <c r="O301" s="25">
        <f>IF(OR(A301="",I301="",F301=""),0,MAX(0,ROUND((F301-I301)*1440,0)))</f>
      </c>
      <c r="P301" s="12">
        <f>IF(OR(L301="",M301=""),0,MAX(0,ROUND((M301-L301)*24-G301,2)))</f>
      </c>
      <c r="Q301" s="12">
        <f>IF(P301=0,0,MIN(P301,'00_Parametres'!$B$23))</f>
      </c>
      <c r="R301" s="12">
        <f>IF(P301=0,0,MAX(0,P301-'00_Parametres'!$B$23))</f>
      </c>
      <c r="S301" s="10"/>
      <c r="T301" s="10"/>
      <c r="U301" s="10"/>
    </row>
    <row r="302" spans="1:21" x14ac:dyDescent="0.25">
      <c r="A302" s="18"/>
      <c r="B302" s="18"/>
      <c r="C302" s="9">
        <f>IF(B302="","",IFERROR(VLOOKUP(B302,'01_Employes'!$A$6:$Q$30,4,FALSE),"⚠ ID inconnu"))</f>
      </c>
      <c r="D302" s="9">
        <f>IF(A302="","",TEXT(A302,"dddd"))</f>
      </c>
      <c r="E302" s="24">
        <f>IF(A302="","",IFERROR(INDEX('00_Parametres'!$C$7:$C$13,WEEKDAY(A302,2)),""))</f>
      </c>
      <c r="F302" s="24">
        <f>IF(A302="","",IFERROR(INDEX('00_Parametres'!$D$7:$D$13,WEEKDAY(A302,2)),""))</f>
      </c>
      <c r="G302" s="24">
        <f>IF(A302="","",IFERROR(INDEX('00_Parametres'!$E$7:$E$13,WEEKDAY(A302,2)),0))</f>
      </c>
      <c r="H302" s="11"/>
      <c r="I302" s="11"/>
      <c r="J302" s="11"/>
      <c r="K302" s="11"/>
      <c r="L302" s="12">
        <f>IF(OR(A302="",H302=""),"",IF(H302&lt;E302,IF(OR(J302="Oui",'00_Parametres'!$B$28="Oui"),H302,E302),H302))</f>
      </c>
      <c r="M302" s="12">
        <f>IF(OR(A302="",I302=""),"",IF(I302&gt;F302,IF(OR(K302="Oui",'00_Parametres'!$B$29="Oui"),I302,F302),I302))</f>
      </c>
      <c r="N302" s="25">
        <f>IF(OR(A302="",H302="",E302=""),0,MAX(0,ROUND((H302-E302)*1440,0)))</f>
      </c>
      <c r="O302" s="25">
        <f>IF(OR(A302="",I302="",F302=""),0,MAX(0,ROUND((F302-I302)*1440,0)))</f>
      </c>
      <c r="P302" s="12">
        <f>IF(OR(L302="",M302=""),0,MAX(0,ROUND((M302-L302)*24-G302,2)))</f>
      </c>
      <c r="Q302" s="12">
        <f>IF(P302=0,0,MIN(P302,'00_Parametres'!$B$23))</f>
      </c>
      <c r="R302" s="12">
        <f>IF(P302=0,0,MAX(0,P302-'00_Parametres'!$B$23))</f>
      </c>
      <c r="S302" s="10"/>
      <c r="T302" s="10"/>
      <c r="U302" s="10"/>
    </row>
    <row r="303" spans="1:21" x14ac:dyDescent="0.25">
      <c r="A303" s="18"/>
      <c r="B303" s="18"/>
      <c r="C303" s="9">
        <f>IF(B303="","",IFERROR(VLOOKUP(B303,'01_Employes'!$A$6:$Q$30,4,FALSE),"⚠ ID inconnu"))</f>
      </c>
      <c r="D303" s="9">
        <f>IF(A303="","",TEXT(A303,"dddd"))</f>
      </c>
      <c r="E303" s="24">
        <f>IF(A303="","",IFERROR(INDEX('00_Parametres'!$C$7:$C$13,WEEKDAY(A303,2)),""))</f>
      </c>
      <c r="F303" s="24">
        <f>IF(A303="","",IFERROR(INDEX('00_Parametres'!$D$7:$D$13,WEEKDAY(A303,2)),""))</f>
      </c>
      <c r="G303" s="24">
        <f>IF(A303="","",IFERROR(INDEX('00_Parametres'!$E$7:$E$13,WEEKDAY(A303,2)),0))</f>
      </c>
      <c r="H303" s="11"/>
      <c r="I303" s="11"/>
      <c r="J303" s="11"/>
      <c r="K303" s="11"/>
      <c r="L303" s="12">
        <f>IF(OR(A303="",H303=""),"",IF(H303&lt;E303,IF(OR(J303="Oui",'00_Parametres'!$B$28="Oui"),H303,E303),H303))</f>
      </c>
      <c r="M303" s="12">
        <f>IF(OR(A303="",I303=""),"",IF(I303&gt;F303,IF(OR(K303="Oui",'00_Parametres'!$B$29="Oui"),I303,F303),I303))</f>
      </c>
      <c r="N303" s="25">
        <f>IF(OR(A303="",H303="",E303=""),0,MAX(0,ROUND((H303-E303)*1440,0)))</f>
      </c>
      <c r="O303" s="25">
        <f>IF(OR(A303="",I303="",F303=""),0,MAX(0,ROUND((F303-I303)*1440,0)))</f>
      </c>
      <c r="P303" s="12">
        <f>IF(OR(L303="",M303=""),0,MAX(0,ROUND((M303-L303)*24-G303,2)))</f>
      </c>
      <c r="Q303" s="12">
        <f>IF(P303=0,0,MIN(P303,'00_Parametres'!$B$23))</f>
      </c>
      <c r="R303" s="12">
        <f>IF(P303=0,0,MAX(0,P303-'00_Parametres'!$B$23))</f>
      </c>
      <c r="S303" s="10"/>
      <c r="T303" s="10"/>
      <c r="U303" s="10"/>
    </row>
    <row r="304" spans="1:21" x14ac:dyDescent="0.25">
      <c r="A304" s="18"/>
      <c r="B304" s="18"/>
      <c r="C304" s="9">
        <f>IF(B304="","",IFERROR(VLOOKUP(B304,'01_Employes'!$A$6:$Q$30,4,FALSE),"⚠ ID inconnu"))</f>
      </c>
      <c r="D304" s="9">
        <f>IF(A304="","",TEXT(A304,"dddd"))</f>
      </c>
      <c r="E304" s="24">
        <f>IF(A304="","",IFERROR(INDEX('00_Parametres'!$C$7:$C$13,WEEKDAY(A304,2)),""))</f>
      </c>
      <c r="F304" s="24">
        <f>IF(A304="","",IFERROR(INDEX('00_Parametres'!$D$7:$D$13,WEEKDAY(A304,2)),""))</f>
      </c>
      <c r="G304" s="24">
        <f>IF(A304="","",IFERROR(INDEX('00_Parametres'!$E$7:$E$13,WEEKDAY(A304,2)),0))</f>
      </c>
      <c r="H304" s="11"/>
      <c r="I304" s="11"/>
      <c r="J304" s="11"/>
      <c r="K304" s="11"/>
      <c r="L304" s="12">
        <f>IF(OR(A304="",H304=""),"",IF(H304&lt;E304,IF(OR(J304="Oui",'00_Parametres'!$B$28="Oui"),H304,E304),H304))</f>
      </c>
      <c r="M304" s="12">
        <f>IF(OR(A304="",I304=""),"",IF(I304&gt;F304,IF(OR(K304="Oui",'00_Parametres'!$B$29="Oui"),I304,F304),I304))</f>
      </c>
      <c r="N304" s="25">
        <f>IF(OR(A304="",H304="",E304=""),0,MAX(0,ROUND((H304-E304)*1440,0)))</f>
      </c>
      <c r="O304" s="25">
        <f>IF(OR(A304="",I304="",F304=""),0,MAX(0,ROUND((F304-I304)*1440,0)))</f>
      </c>
      <c r="P304" s="12">
        <f>IF(OR(L304="",M304=""),0,MAX(0,ROUND((M304-L304)*24-G304,2)))</f>
      </c>
      <c r="Q304" s="12">
        <f>IF(P304=0,0,MIN(P304,'00_Parametres'!$B$23))</f>
      </c>
      <c r="R304" s="12">
        <f>IF(P304=0,0,MAX(0,P304-'00_Parametres'!$B$23))</f>
      </c>
      <c r="S304" s="10"/>
      <c r="T304" s="10"/>
      <c r="U304" s="10"/>
    </row>
    <row r="305" spans="1:21" x14ac:dyDescent="0.25">
      <c r="A305" s="18"/>
      <c r="B305" s="18"/>
      <c r="C305" s="9">
        <f>IF(B305="","",IFERROR(VLOOKUP(B305,'01_Employes'!$A$6:$Q$30,4,FALSE),"⚠ ID inconnu"))</f>
      </c>
      <c r="D305" s="9">
        <f>IF(A305="","",TEXT(A305,"dddd"))</f>
      </c>
      <c r="E305" s="24">
        <f>IF(A305="","",IFERROR(INDEX('00_Parametres'!$C$7:$C$13,WEEKDAY(A305,2)),""))</f>
      </c>
      <c r="F305" s="24">
        <f>IF(A305="","",IFERROR(INDEX('00_Parametres'!$D$7:$D$13,WEEKDAY(A305,2)),""))</f>
      </c>
      <c r="G305" s="24">
        <f>IF(A305="","",IFERROR(INDEX('00_Parametres'!$E$7:$E$13,WEEKDAY(A305,2)),0))</f>
      </c>
      <c r="H305" s="11"/>
      <c r="I305" s="11"/>
      <c r="J305" s="11"/>
      <c r="K305" s="11"/>
      <c r="L305" s="12">
        <f>IF(OR(A305="",H305=""),"",IF(H305&lt;E305,IF(OR(J305="Oui",'00_Parametres'!$B$28="Oui"),H305,E305),H305))</f>
      </c>
      <c r="M305" s="12">
        <f>IF(OR(A305="",I305=""),"",IF(I305&gt;F305,IF(OR(K305="Oui",'00_Parametres'!$B$29="Oui"),I305,F305),I305))</f>
      </c>
      <c r="N305" s="25">
        <f>IF(OR(A305="",H305="",E305=""),0,MAX(0,ROUND((H305-E305)*1440,0)))</f>
      </c>
      <c r="O305" s="25">
        <f>IF(OR(A305="",I305="",F305=""),0,MAX(0,ROUND((F305-I305)*1440,0)))</f>
      </c>
      <c r="P305" s="12">
        <f>IF(OR(L305="",M305=""),0,MAX(0,ROUND((M305-L305)*24-G305,2)))</f>
      </c>
      <c r="Q305" s="12">
        <f>IF(P305=0,0,MIN(P305,'00_Parametres'!$B$23))</f>
      </c>
      <c r="R305" s="12">
        <f>IF(P305=0,0,MAX(0,P305-'00_Parametres'!$B$23))</f>
      </c>
      <c r="S305" s="10"/>
      <c r="T305" s="10"/>
      <c r="U305" s="10"/>
    </row>
    <row r="306" spans="1:21" x14ac:dyDescent="0.25">
      <c r="A306" s="18"/>
      <c r="B306" s="18"/>
      <c r="C306" s="9">
        <f>IF(B306="","",IFERROR(VLOOKUP(B306,'01_Employes'!$A$6:$Q$30,4,FALSE),"⚠ ID inconnu"))</f>
      </c>
      <c r="D306" s="9">
        <f>IF(A306="","",TEXT(A306,"dddd"))</f>
      </c>
      <c r="E306" s="24">
        <f>IF(A306="","",IFERROR(INDEX('00_Parametres'!$C$7:$C$13,WEEKDAY(A306,2)),""))</f>
      </c>
      <c r="F306" s="24">
        <f>IF(A306="","",IFERROR(INDEX('00_Parametres'!$D$7:$D$13,WEEKDAY(A306,2)),""))</f>
      </c>
      <c r="G306" s="24">
        <f>IF(A306="","",IFERROR(INDEX('00_Parametres'!$E$7:$E$13,WEEKDAY(A306,2)),0))</f>
      </c>
      <c r="H306" s="11"/>
      <c r="I306" s="11"/>
      <c r="J306" s="11"/>
      <c r="K306" s="11"/>
      <c r="L306" s="12">
        <f>IF(OR(A306="",H306=""),"",IF(H306&lt;E306,IF(OR(J306="Oui",'00_Parametres'!$B$28="Oui"),H306,E306),H306))</f>
      </c>
      <c r="M306" s="12">
        <f>IF(OR(A306="",I306=""),"",IF(I306&gt;F306,IF(OR(K306="Oui",'00_Parametres'!$B$29="Oui"),I306,F306),I306))</f>
      </c>
      <c r="N306" s="25">
        <f>IF(OR(A306="",H306="",E306=""),0,MAX(0,ROUND((H306-E306)*1440,0)))</f>
      </c>
      <c r="O306" s="25">
        <f>IF(OR(A306="",I306="",F306=""),0,MAX(0,ROUND((F306-I306)*1440,0)))</f>
      </c>
      <c r="P306" s="12">
        <f>IF(OR(L306="",M306=""),0,MAX(0,ROUND((M306-L306)*24-G306,2)))</f>
      </c>
      <c r="Q306" s="12">
        <f>IF(P306=0,0,MIN(P306,'00_Parametres'!$B$23))</f>
      </c>
      <c r="R306" s="12">
        <f>IF(P306=0,0,MAX(0,P306-'00_Parametres'!$B$23))</f>
      </c>
      <c r="S306" s="10"/>
      <c r="T306" s="10"/>
      <c r="U306" s="10"/>
    </row>
    <row r="307" spans="1:21" x14ac:dyDescent="0.25">
      <c r="A307" s="18"/>
      <c r="B307" s="18"/>
      <c r="C307" s="9">
        <f>IF(B307="","",IFERROR(VLOOKUP(B307,'01_Employes'!$A$6:$Q$30,4,FALSE),"⚠ ID inconnu"))</f>
      </c>
      <c r="D307" s="9">
        <f>IF(A307="","",TEXT(A307,"dddd"))</f>
      </c>
      <c r="E307" s="24">
        <f>IF(A307="","",IFERROR(INDEX('00_Parametres'!$C$7:$C$13,WEEKDAY(A307,2)),""))</f>
      </c>
      <c r="F307" s="24">
        <f>IF(A307="","",IFERROR(INDEX('00_Parametres'!$D$7:$D$13,WEEKDAY(A307,2)),""))</f>
      </c>
      <c r="G307" s="24">
        <f>IF(A307="","",IFERROR(INDEX('00_Parametres'!$E$7:$E$13,WEEKDAY(A307,2)),0))</f>
      </c>
      <c r="H307" s="11"/>
      <c r="I307" s="11"/>
      <c r="J307" s="11"/>
      <c r="K307" s="11"/>
      <c r="L307" s="12">
        <f>IF(OR(A307="",H307=""),"",IF(H307&lt;E307,IF(OR(J307="Oui",'00_Parametres'!$B$28="Oui"),H307,E307),H307))</f>
      </c>
      <c r="M307" s="12">
        <f>IF(OR(A307="",I307=""),"",IF(I307&gt;F307,IF(OR(K307="Oui",'00_Parametres'!$B$29="Oui"),I307,F307),I307))</f>
      </c>
      <c r="N307" s="25">
        <f>IF(OR(A307="",H307="",E307=""),0,MAX(0,ROUND((H307-E307)*1440,0)))</f>
      </c>
      <c r="O307" s="25">
        <f>IF(OR(A307="",I307="",F307=""),0,MAX(0,ROUND((F307-I307)*1440,0)))</f>
      </c>
      <c r="P307" s="12">
        <f>IF(OR(L307="",M307=""),0,MAX(0,ROUND((M307-L307)*24-G307,2)))</f>
      </c>
      <c r="Q307" s="12">
        <f>IF(P307=0,0,MIN(P307,'00_Parametres'!$B$23))</f>
      </c>
      <c r="R307" s="12">
        <f>IF(P307=0,0,MAX(0,P307-'00_Parametres'!$B$23))</f>
      </c>
      <c r="S307" s="10"/>
      <c r="T307" s="10"/>
      <c r="U307" s="10"/>
    </row>
    <row r="308" spans="1:21" x14ac:dyDescent="0.25">
      <c r="A308" s="18"/>
      <c r="B308" s="18"/>
      <c r="C308" s="9">
        <f>IF(B308="","",IFERROR(VLOOKUP(B308,'01_Employes'!$A$6:$Q$30,4,FALSE),"⚠ ID inconnu"))</f>
      </c>
      <c r="D308" s="9">
        <f>IF(A308="","",TEXT(A308,"dddd"))</f>
      </c>
      <c r="E308" s="24">
        <f>IF(A308="","",IFERROR(INDEX('00_Parametres'!$C$7:$C$13,WEEKDAY(A308,2)),""))</f>
      </c>
      <c r="F308" s="24">
        <f>IF(A308="","",IFERROR(INDEX('00_Parametres'!$D$7:$D$13,WEEKDAY(A308,2)),""))</f>
      </c>
      <c r="G308" s="24">
        <f>IF(A308="","",IFERROR(INDEX('00_Parametres'!$E$7:$E$13,WEEKDAY(A308,2)),0))</f>
      </c>
      <c r="H308" s="11"/>
      <c r="I308" s="11"/>
      <c r="J308" s="11"/>
      <c r="K308" s="11"/>
      <c r="L308" s="12">
        <f>IF(OR(A308="",H308=""),"",IF(H308&lt;E308,IF(OR(J308="Oui",'00_Parametres'!$B$28="Oui"),H308,E308),H308))</f>
      </c>
      <c r="M308" s="12">
        <f>IF(OR(A308="",I308=""),"",IF(I308&gt;F308,IF(OR(K308="Oui",'00_Parametres'!$B$29="Oui"),I308,F308),I308))</f>
      </c>
      <c r="N308" s="25">
        <f>IF(OR(A308="",H308="",E308=""),0,MAX(0,ROUND((H308-E308)*1440,0)))</f>
      </c>
      <c r="O308" s="25">
        <f>IF(OR(A308="",I308="",F308=""),0,MAX(0,ROUND((F308-I308)*1440,0)))</f>
      </c>
      <c r="P308" s="12">
        <f>IF(OR(L308="",M308=""),0,MAX(0,ROUND((M308-L308)*24-G308,2)))</f>
      </c>
      <c r="Q308" s="12">
        <f>IF(P308=0,0,MIN(P308,'00_Parametres'!$B$23))</f>
      </c>
      <c r="R308" s="12">
        <f>IF(P308=0,0,MAX(0,P308-'00_Parametres'!$B$23))</f>
      </c>
      <c r="S308" s="10"/>
      <c r="T308" s="10"/>
      <c r="U308" s="10"/>
    </row>
    <row r="309" spans="1:21" x14ac:dyDescent="0.25">
      <c r="A309" s="18"/>
      <c r="B309" s="18"/>
      <c r="C309" s="9">
        <f>IF(B309="","",IFERROR(VLOOKUP(B309,'01_Employes'!$A$6:$Q$30,4,FALSE),"⚠ ID inconnu"))</f>
      </c>
      <c r="D309" s="9">
        <f>IF(A309="","",TEXT(A309,"dddd"))</f>
      </c>
      <c r="E309" s="24">
        <f>IF(A309="","",IFERROR(INDEX('00_Parametres'!$C$7:$C$13,WEEKDAY(A309,2)),""))</f>
      </c>
      <c r="F309" s="24">
        <f>IF(A309="","",IFERROR(INDEX('00_Parametres'!$D$7:$D$13,WEEKDAY(A309,2)),""))</f>
      </c>
      <c r="G309" s="24">
        <f>IF(A309="","",IFERROR(INDEX('00_Parametres'!$E$7:$E$13,WEEKDAY(A309,2)),0))</f>
      </c>
      <c r="H309" s="11"/>
      <c r="I309" s="11"/>
      <c r="J309" s="11"/>
      <c r="K309" s="11"/>
      <c r="L309" s="12">
        <f>IF(OR(A309="",H309=""),"",IF(H309&lt;E309,IF(OR(J309="Oui",'00_Parametres'!$B$28="Oui"),H309,E309),H309))</f>
      </c>
      <c r="M309" s="12">
        <f>IF(OR(A309="",I309=""),"",IF(I309&gt;F309,IF(OR(K309="Oui",'00_Parametres'!$B$29="Oui"),I309,F309),I309))</f>
      </c>
      <c r="N309" s="25">
        <f>IF(OR(A309="",H309="",E309=""),0,MAX(0,ROUND((H309-E309)*1440,0)))</f>
      </c>
      <c r="O309" s="25">
        <f>IF(OR(A309="",I309="",F309=""),0,MAX(0,ROUND((F309-I309)*1440,0)))</f>
      </c>
      <c r="P309" s="12">
        <f>IF(OR(L309="",M309=""),0,MAX(0,ROUND((M309-L309)*24-G309,2)))</f>
      </c>
      <c r="Q309" s="12">
        <f>IF(P309=0,0,MIN(P309,'00_Parametres'!$B$23))</f>
      </c>
      <c r="R309" s="12">
        <f>IF(P309=0,0,MAX(0,P309-'00_Parametres'!$B$23))</f>
      </c>
      <c r="S309" s="10"/>
      <c r="T309" s="10"/>
      <c r="U309" s="10"/>
    </row>
    <row r="310" spans="1:21" x14ac:dyDescent="0.25">
      <c r="A310" s="18"/>
      <c r="B310" s="18"/>
      <c r="C310" s="9">
        <f>IF(B310="","",IFERROR(VLOOKUP(B310,'01_Employes'!$A$6:$Q$30,4,FALSE),"⚠ ID inconnu"))</f>
      </c>
      <c r="D310" s="9">
        <f>IF(A310="","",TEXT(A310,"dddd"))</f>
      </c>
      <c r="E310" s="24">
        <f>IF(A310="","",IFERROR(INDEX('00_Parametres'!$C$7:$C$13,WEEKDAY(A310,2)),""))</f>
      </c>
      <c r="F310" s="24">
        <f>IF(A310="","",IFERROR(INDEX('00_Parametres'!$D$7:$D$13,WEEKDAY(A310,2)),""))</f>
      </c>
      <c r="G310" s="24">
        <f>IF(A310="","",IFERROR(INDEX('00_Parametres'!$E$7:$E$13,WEEKDAY(A310,2)),0))</f>
      </c>
      <c r="H310" s="11"/>
      <c r="I310" s="11"/>
      <c r="J310" s="11"/>
      <c r="K310" s="11"/>
      <c r="L310" s="12">
        <f>IF(OR(A310="",H310=""),"",IF(H310&lt;E310,IF(OR(J310="Oui",'00_Parametres'!$B$28="Oui"),H310,E310),H310))</f>
      </c>
      <c r="M310" s="12">
        <f>IF(OR(A310="",I310=""),"",IF(I310&gt;F310,IF(OR(K310="Oui",'00_Parametres'!$B$29="Oui"),I310,F310),I310))</f>
      </c>
      <c r="N310" s="25">
        <f>IF(OR(A310="",H310="",E310=""),0,MAX(0,ROUND((H310-E310)*1440,0)))</f>
      </c>
      <c r="O310" s="25">
        <f>IF(OR(A310="",I310="",F310=""),0,MAX(0,ROUND((F310-I310)*1440,0)))</f>
      </c>
      <c r="P310" s="12">
        <f>IF(OR(L310="",M310=""),0,MAX(0,ROUND((M310-L310)*24-G310,2)))</f>
      </c>
      <c r="Q310" s="12">
        <f>IF(P310=0,0,MIN(P310,'00_Parametres'!$B$23))</f>
      </c>
      <c r="R310" s="12">
        <f>IF(P310=0,0,MAX(0,P310-'00_Parametres'!$B$23))</f>
      </c>
      <c r="S310" s="10"/>
      <c r="T310" s="10"/>
      <c r="U310" s="10"/>
    </row>
    <row r="311" spans="1:21" x14ac:dyDescent="0.25">
      <c r="A311" s="18"/>
      <c r="B311" s="18"/>
      <c r="C311" s="9">
        <f>IF(B311="","",IFERROR(VLOOKUP(B311,'01_Employes'!$A$6:$Q$30,4,FALSE),"⚠ ID inconnu"))</f>
      </c>
      <c r="D311" s="9">
        <f>IF(A311="","",TEXT(A311,"dddd"))</f>
      </c>
      <c r="E311" s="24">
        <f>IF(A311="","",IFERROR(INDEX('00_Parametres'!$C$7:$C$13,WEEKDAY(A311,2)),""))</f>
      </c>
      <c r="F311" s="24">
        <f>IF(A311="","",IFERROR(INDEX('00_Parametres'!$D$7:$D$13,WEEKDAY(A311,2)),""))</f>
      </c>
      <c r="G311" s="24">
        <f>IF(A311="","",IFERROR(INDEX('00_Parametres'!$E$7:$E$13,WEEKDAY(A311,2)),0))</f>
      </c>
      <c r="H311" s="11"/>
      <c r="I311" s="11"/>
      <c r="J311" s="11"/>
      <c r="K311" s="11"/>
      <c r="L311" s="12">
        <f>IF(OR(A311="",H311=""),"",IF(H311&lt;E311,IF(OR(J311="Oui",'00_Parametres'!$B$28="Oui"),H311,E311),H311))</f>
      </c>
      <c r="M311" s="12">
        <f>IF(OR(A311="",I311=""),"",IF(I311&gt;F311,IF(OR(K311="Oui",'00_Parametres'!$B$29="Oui"),I311,F311),I311))</f>
      </c>
      <c r="N311" s="25">
        <f>IF(OR(A311="",H311="",E311=""),0,MAX(0,ROUND((H311-E311)*1440,0)))</f>
      </c>
      <c r="O311" s="25">
        <f>IF(OR(A311="",I311="",F311=""),0,MAX(0,ROUND((F311-I311)*1440,0)))</f>
      </c>
      <c r="P311" s="12">
        <f>IF(OR(L311="",M311=""),0,MAX(0,ROUND((M311-L311)*24-G311,2)))</f>
      </c>
      <c r="Q311" s="12">
        <f>IF(P311=0,0,MIN(P311,'00_Parametres'!$B$23))</f>
      </c>
      <c r="R311" s="12">
        <f>IF(P311=0,0,MAX(0,P311-'00_Parametres'!$B$23))</f>
      </c>
      <c r="S311" s="10"/>
      <c r="T311" s="10"/>
      <c r="U311" s="10"/>
    </row>
    <row r="312" spans="1:21" x14ac:dyDescent="0.25">
      <c r="A312" s="18"/>
      <c r="B312" s="18"/>
      <c r="C312" s="9">
        <f>IF(B312="","",IFERROR(VLOOKUP(B312,'01_Employes'!$A$6:$Q$30,4,FALSE),"⚠ ID inconnu"))</f>
      </c>
      <c r="D312" s="9">
        <f>IF(A312="","",TEXT(A312,"dddd"))</f>
      </c>
      <c r="E312" s="24">
        <f>IF(A312="","",IFERROR(INDEX('00_Parametres'!$C$7:$C$13,WEEKDAY(A312,2)),""))</f>
      </c>
      <c r="F312" s="24">
        <f>IF(A312="","",IFERROR(INDEX('00_Parametres'!$D$7:$D$13,WEEKDAY(A312,2)),""))</f>
      </c>
      <c r="G312" s="24">
        <f>IF(A312="","",IFERROR(INDEX('00_Parametres'!$E$7:$E$13,WEEKDAY(A312,2)),0))</f>
      </c>
      <c r="H312" s="11"/>
      <c r="I312" s="11"/>
      <c r="J312" s="11"/>
      <c r="K312" s="11"/>
      <c r="L312" s="12">
        <f>IF(OR(A312="",H312=""),"",IF(H312&lt;E312,IF(OR(J312="Oui",'00_Parametres'!$B$28="Oui"),H312,E312),H312))</f>
      </c>
      <c r="M312" s="12">
        <f>IF(OR(A312="",I312=""),"",IF(I312&gt;F312,IF(OR(K312="Oui",'00_Parametres'!$B$29="Oui"),I312,F312),I312))</f>
      </c>
      <c r="N312" s="25">
        <f>IF(OR(A312="",H312="",E312=""),0,MAX(0,ROUND((H312-E312)*1440,0)))</f>
      </c>
      <c r="O312" s="25">
        <f>IF(OR(A312="",I312="",F312=""),0,MAX(0,ROUND((F312-I312)*1440,0)))</f>
      </c>
      <c r="P312" s="12">
        <f>IF(OR(L312="",M312=""),0,MAX(0,ROUND((M312-L312)*24-G312,2)))</f>
      </c>
      <c r="Q312" s="12">
        <f>IF(P312=0,0,MIN(P312,'00_Parametres'!$B$23))</f>
      </c>
      <c r="R312" s="12">
        <f>IF(P312=0,0,MAX(0,P312-'00_Parametres'!$B$23))</f>
      </c>
      <c r="S312" s="10"/>
      <c r="T312" s="10"/>
      <c r="U312" s="10"/>
    </row>
    <row r="313" spans="1:21" x14ac:dyDescent="0.25">
      <c r="A313" s="18"/>
      <c r="B313" s="18"/>
      <c r="C313" s="9">
        <f>IF(B313="","",IFERROR(VLOOKUP(B313,'01_Employes'!$A$6:$Q$30,4,FALSE),"⚠ ID inconnu"))</f>
      </c>
      <c r="D313" s="9">
        <f>IF(A313="","",TEXT(A313,"dddd"))</f>
      </c>
      <c r="E313" s="24">
        <f>IF(A313="","",IFERROR(INDEX('00_Parametres'!$C$7:$C$13,WEEKDAY(A313,2)),""))</f>
      </c>
      <c r="F313" s="24">
        <f>IF(A313="","",IFERROR(INDEX('00_Parametres'!$D$7:$D$13,WEEKDAY(A313,2)),""))</f>
      </c>
      <c r="G313" s="24">
        <f>IF(A313="","",IFERROR(INDEX('00_Parametres'!$E$7:$E$13,WEEKDAY(A313,2)),0))</f>
      </c>
      <c r="H313" s="11"/>
      <c r="I313" s="11"/>
      <c r="J313" s="11"/>
      <c r="K313" s="11"/>
      <c r="L313" s="12">
        <f>IF(OR(A313="",H313=""),"",IF(H313&lt;E313,IF(OR(J313="Oui",'00_Parametres'!$B$28="Oui"),H313,E313),H313))</f>
      </c>
      <c r="M313" s="12">
        <f>IF(OR(A313="",I313=""),"",IF(I313&gt;F313,IF(OR(K313="Oui",'00_Parametres'!$B$29="Oui"),I313,F313),I313))</f>
      </c>
      <c r="N313" s="25">
        <f>IF(OR(A313="",H313="",E313=""),0,MAX(0,ROUND((H313-E313)*1440,0)))</f>
      </c>
      <c r="O313" s="25">
        <f>IF(OR(A313="",I313="",F313=""),0,MAX(0,ROUND((F313-I313)*1440,0)))</f>
      </c>
      <c r="P313" s="12">
        <f>IF(OR(L313="",M313=""),0,MAX(0,ROUND((M313-L313)*24-G313,2)))</f>
      </c>
      <c r="Q313" s="12">
        <f>IF(P313=0,0,MIN(P313,'00_Parametres'!$B$23))</f>
      </c>
      <c r="R313" s="12">
        <f>IF(P313=0,0,MAX(0,P313-'00_Parametres'!$B$23))</f>
      </c>
      <c r="S313" s="10"/>
      <c r="T313" s="10"/>
      <c r="U313" s="10"/>
    </row>
    <row r="314" spans="1:21" x14ac:dyDescent="0.25">
      <c r="A314" s="18"/>
      <c r="B314" s="18"/>
      <c r="C314" s="9">
        <f>IF(B314="","",IFERROR(VLOOKUP(B314,'01_Employes'!$A$6:$Q$30,4,FALSE),"⚠ ID inconnu"))</f>
      </c>
      <c r="D314" s="9">
        <f>IF(A314="","",TEXT(A314,"dddd"))</f>
      </c>
      <c r="E314" s="24">
        <f>IF(A314="","",IFERROR(INDEX('00_Parametres'!$C$7:$C$13,WEEKDAY(A314,2)),""))</f>
      </c>
      <c r="F314" s="24">
        <f>IF(A314="","",IFERROR(INDEX('00_Parametres'!$D$7:$D$13,WEEKDAY(A314,2)),""))</f>
      </c>
      <c r="G314" s="24">
        <f>IF(A314="","",IFERROR(INDEX('00_Parametres'!$E$7:$E$13,WEEKDAY(A314,2)),0))</f>
      </c>
      <c r="H314" s="11"/>
      <c r="I314" s="11"/>
      <c r="J314" s="11"/>
      <c r="K314" s="11"/>
      <c r="L314" s="12">
        <f>IF(OR(A314="",H314=""),"",IF(H314&lt;E314,IF(OR(J314="Oui",'00_Parametres'!$B$28="Oui"),H314,E314),H314))</f>
      </c>
      <c r="M314" s="12">
        <f>IF(OR(A314="",I314=""),"",IF(I314&gt;F314,IF(OR(K314="Oui",'00_Parametres'!$B$29="Oui"),I314,F314),I314))</f>
      </c>
      <c r="N314" s="25">
        <f>IF(OR(A314="",H314="",E314=""),0,MAX(0,ROUND((H314-E314)*1440,0)))</f>
      </c>
      <c r="O314" s="25">
        <f>IF(OR(A314="",I314="",F314=""),0,MAX(0,ROUND((F314-I314)*1440,0)))</f>
      </c>
      <c r="P314" s="12">
        <f>IF(OR(L314="",M314=""),0,MAX(0,ROUND((M314-L314)*24-G314,2)))</f>
      </c>
      <c r="Q314" s="12">
        <f>IF(P314=0,0,MIN(P314,'00_Parametres'!$B$23))</f>
      </c>
      <c r="R314" s="12">
        <f>IF(P314=0,0,MAX(0,P314-'00_Parametres'!$B$23))</f>
      </c>
      <c r="S314" s="10"/>
      <c r="T314" s="10"/>
      <c r="U314" s="10"/>
    </row>
    <row r="315" spans="1:21" x14ac:dyDescent="0.25">
      <c r="A315" s="18"/>
      <c r="B315" s="18"/>
      <c r="C315" s="9">
        <f>IF(B315="","",IFERROR(VLOOKUP(B315,'01_Employes'!$A$6:$Q$30,4,FALSE),"⚠ ID inconnu"))</f>
      </c>
      <c r="D315" s="9">
        <f>IF(A315="","",TEXT(A315,"dddd"))</f>
      </c>
      <c r="E315" s="24">
        <f>IF(A315="","",IFERROR(INDEX('00_Parametres'!$C$7:$C$13,WEEKDAY(A315,2)),""))</f>
      </c>
      <c r="F315" s="24">
        <f>IF(A315="","",IFERROR(INDEX('00_Parametres'!$D$7:$D$13,WEEKDAY(A315,2)),""))</f>
      </c>
      <c r="G315" s="24">
        <f>IF(A315="","",IFERROR(INDEX('00_Parametres'!$E$7:$E$13,WEEKDAY(A315,2)),0))</f>
      </c>
      <c r="H315" s="11"/>
      <c r="I315" s="11"/>
      <c r="J315" s="11"/>
      <c r="K315" s="11"/>
      <c r="L315" s="12">
        <f>IF(OR(A315="",H315=""),"",IF(H315&lt;E315,IF(OR(J315="Oui",'00_Parametres'!$B$28="Oui"),H315,E315),H315))</f>
      </c>
      <c r="M315" s="12">
        <f>IF(OR(A315="",I315=""),"",IF(I315&gt;F315,IF(OR(K315="Oui",'00_Parametres'!$B$29="Oui"),I315,F315),I315))</f>
      </c>
      <c r="N315" s="25">
        <f>IF(OR(A315="",H315="",E315=""),0,MAX(0,ROUND((H315-E315)*1440,0)))</f>
      </c>
      <c r="O315" s="25">
        <f>IF(OR(A315="",I315="",F315=""),0,MAX(0,ROUND((F315-I315)*1440,0)))</f>
      </c>
      <c r="P315" s="12">
        <f>IF(OR(L315="",M315=""),0,MAX(0,ROUND((M315-L315)*24-G315,2)))</f>
      </c>
      <c r="Q315" s="12">
        <f>IF(P315=0,0,MIN(P315,'00_Parametres'!$B$23))</f>
      </c>
      <c r="R315" s="12">
        <f>IF(P315=0,0,MAX(0,P315-'00_Parametres'!$B$23))</f>
      </c>
      <c r="S315" s="10"/>
      <c r="T315" s="10"/>
      <c r="U315" s="10"/>
    </row>
    <row r="316" spans="1:21" x14ac:dyDescent="0.25">
      <c r="A316" s="18"/>
      <c r="B316" s="18"/>
      <c r="C316" s="9">
        <f>IF(B316="","",IFERROR(VLOOKUP(B316,'01_Employes'!$A$6:$Q$30,4,FALSE),"⚠ ID inconnu"))</f>
      </c>
      <c r="D316" s="9">
        <f>IF(A316="","",TEXT(A316,"dddd"))</f>
      </c>
      <c r="E316" s="24">
        <f>IF(A316="","",IFERROR(INDEX('00_Parametres'!$C$7:$C$13,WEEKDAY(A316,2)),""))</f>
      </c>
      <c r="F316" s="24">
        <f>IF(A316="","",IFERROR(INDEX('00_Parametres'!$D$7:$D$13,WEEKDAY(A316,2)),""))</f>
      </c>
      <c r="G316" s="24">
        <f>IF(A316="","",IFERROR(INDEX('00_Parametres'!$E$7:$E$13,WEEKDAY(A316,2)),0))</f>
      </c>
      <c r="H316" s="11"/>
      <c r="I316" s="11"/>
      <c r="J316" s="11"/>
      <c r="K316" s="11"/>
      <c r="L316" s="12">
        <f>IF(OR(A316="",H316=""),"",IF(H316&lt;E316,IF(OR(J316="Oui",'00_Parametres'!$B$28="Oui"),H316,E316),H316))</f>
      </c>
      <c r="M316" s="12">
        <f>IF(OR(A316="",I316=""),"",IF(I316&gt;F316,IF(OR(K316="Oui",'00_Parametres'!$B$29="Oui"),I316,F316),I316))</f>
      </c>
      <c r="N316" s="25">
        <f>IF(OR(A316="",H316="",E316=""),0,MAX(0,ROUND((H316-E316)*1440,0)))</f>
      </c>
      <c r="O316" s="25">
        <f>IF(OR(A316="",I316="",F316=""),0,MAX(0,ROUND((F316-I316)*1440,0)))</f>
      </c>
      <c r="P316" s="12">
        <f>IF(OR(L316="",M316=""),0,MAX(0,ROUND((M316-L316)*24-G316,2)))</f>
      </c>
      <c r="Q316" s="12">
        <f>IF(P316=0,0,MIN(P316,'00_Parametres'!$B$23))</f>
      </c>
      <c r="R316" s="12">
        <f>IF(P316=0,0,MAX(0,P316-'00_Parametres'!$B$23))</f>
      </c>
      <c r="S316" s="10"/>
      <c r="T316" s="10"/>
      <c r="U316" s="10"/>
    </row>
    <row r="317" spans="1:21" x14ac:dyDescent="0.25">
      <c r="A317" s="18"/>
      <c r="B317" s="18"/>
      <c r="C317" s="9">
        <f>IF(B317="","",IFERROR(VLOOKUP(B317,'01_Employes'!$A$6:$Q$30,4,FALSE),"⚠ ID inconnu"))</f>
      </c>
      <c r="D317" s="9">
        <f>IF(A317="","",TEXT(A317,"dddd"))</f>
      </c>
      <c r="E317" s="24">
        <f>IF(A317="","",IFERROR(INDEX('00_Parametres'!$C$7:$C$13,WEEKDAY(A317,2)),""))</f>
      </c>
      <c r="F317" s="24">
        <f>IF(A317="","",IFERROR(INDEX('00_Parametres'!$D$7:$D$13,WEEKDAY(A317,2)),""))</f>
      </c>
      <c r="G317" s="24">
        <f>IF(A317="","",IFERROR(INDEX('00_Parametres'!$E$7:$E$13,WEEKDAY(A317,2)),0))</f>
      </c>
      <c r="H317" s="11"/>
      <c r="I317" s="11"/>
      <c r="J317" s="11"/>
      <c r="K317" s="11"/>
      <c r="L317" s="12">
        <f>IF(OR(A317="",H317=""),"",IF(H317&lt;E317,IF(OR(J317="Oui",'00_Parametres'!$B$28="Oui"),H317,E317),H317))</f>
      </c>
      <c r="M317" s="12">
        <f>IF(OR(A317="",I317=""),"",IF(I317&gt;F317,IF(OR(K317="Oui",'00_Parametres'!$B$29="Oui"),I317,F317),I317))</f>
      </c>
      <c r="N317" s="25">
        <f>IF(OR(A317="",H317="",E317=""),0,MAX(0,ROUND((H317-E317)*1440,0)))</f>
      </c>
      <c r="O317" s="25">
        <f>IF(OR(A317="",I317="",F317=""),0,MAX(0,ROUND((F317-I317)*1440,0)))</f>
      </c>
      <c r="P317" s="12">
        <f>IF(OR(L317="",M317=""),0,MAX(0,ROUND((M317-L317)*24-G317,2)))</f>
      </c>
      <c r="Q317" s="12">
        <f>IF(P317=0,0,MIN(P317,'00_Parametres'!$B$23))</f>
      </c>
      <c r="R317" s="12">
        <f>IF(P317=0,0,MAX(0,P317-'00_Parametres'!$B$23))</f>
      </c>
      <c r="S317" s="10"/>
      <c r="T317" s="10"/>
      <c r="U317" s="10"/>
    </row>
    <row r="318" spans="1:21" x14ac:dyDescent="0.25">
      <c r="A318" s="18"/>
      <c r="B318" s="18"/>
      <c r="C318" s="9">
        <f>IF(B318="","",IFERROR(VLOOKUP(B318,'01_Employes'!$A$6:$Q$30,4,FALSE),"⚠ ID inconnu"))</f>
      </c>
      <c r="D318" s="9">
        <f>IF(A318="","",TEXT(A318,"dddd"))</f>
      </c>
      <c r="E318" s="24">
        <f>IF(A318="","",IFERROR(INDEX('00_Parametres'!$C$7:$C$13,WEEKDAY(A318,2)),""))</f>
      </c>
      <c r="F318" s="24">
        <f>IF(A318="","",IFERROR(INDEX('00_Parametres'!$D$7:$D$13,WEEKDAY(A318,2)),""))</f>
      </c>
      <c r="G318" s="24">
        <f>IF(A318="","",IFERROR(INDEX('00_Parametres'!$E$7:$E$13,WEEKDAY(A318,2)),0))</f>
      </c>
      <c r="H318" s="11"/>
      <c r="I318" s="11"/>
      <c r="J318" s="11"/>
      <c r="K318" s="11"/>
      <c r="L318" s="12">
        <f>IF(OR(A318="",H318=""),"",IF(H318&lt;E318,IF(OR(J318="Oui",'00_Parametres'!$B$28="Oui"),H318,E318),H318))</f>
      </c>
      <c r="M318" s="12">
        <f>IF(OR(A318="",I318=""),"",IF(I318&gt;F318,IF(OR(K318="Oui",'00_Parametres'!$B$29="Oui"),I318,F318),I318))</f>
      </c>
      <c r="N318" s="25">
        <f>IF(OR(A318="",H318="",E318=""),0,MAX(0,ROUND((H318-E318)*1440,0)))</f>
      </c>
      <c r="O318" s="25">
        <f>IF(OR(A318="",I318="",F318=""),0,MAX(0,ROUND((F318-I318)*1440,0)))</f>
      </c>
      <c r="P318" s="12">
        <f>IF(OR(L318="",M318=""),0,MAX(0,ROUND((M318-L318)*24-G318,2)))</f>
      </c>
      <c r="Q318" s="12">
        <f>IF(P318=0,0,MIN(P318,'00_Parametres'!$B$23))</f>
      </c>
      <c r="R318" s="12">
        <f>IF(P318=0,0,MAX(0,P318-'00_Parametres'!$B$23))</f>
      </c>
      <c r="S318" s="10"/>
      <c r="T318" s="10"/>
      <c r="U318" s="10"/>
    </row>
    <row r="319" spans="1:21" x14ac:dyDescent="0.25">
      <c r="A319" s="18"/>
      <c r="B319" s="18"/>
      <c r="C319" s="9">
        <f>IF(B319="","",IFERROR(VLOOKUP(B319,'01_Employes'!$A$6:$Q$30,4,FALSE),"⚠ ID inconnu"))</f>
      </c>
      <c r="D319" s="9">
        <f>IF(A319="","",TEXT(A319,"dddd"))</f>
      </c>
      <c r="E319" s="24">
        <f>IF(A319="","",IFERROR(INDEX('00_Parametres'!$C$7:$C$13,WEEKDAY(A319,2)),""))</f>
      </c>
      <c r="F319" s="24">
        <f>IF(A319="","",IFERROR(INDEX('00_Parametres'!$D$7:$D$13,WEEKDAY(A319,2)),""))</f>
      </c>
      <c r="G319" s="24">
        <f>IF(A319="","",IFERROR(INDEX('00_Parametres'!$E$7:$E$13,WEEKDAY(A319,2)),0))</f>
      </c>
      <c r="H319" s="11"/>
      <c r="I319" s="11"/>
      <c r="J319" s="11"/>
      <c r="K319" s="11"/>
      <c r="L319" s="12">
        <f>IF(OR(A319="",H319=""),"",IF(H319&lt;E319,IF(OR(J319="Oui",'00_Parametres'!$B$28="Oui"),H319,E319),H319))</f>
      </c>
      <c r="M319" s="12">
        <f>IF(OR(A319="",I319=""),"",IF(I319&gt;F319,IF(OR(K319="Oui",'00_Parametres'!$B$29="Oui"),I319,F319),I319))</f>
      </c>
      <c r="N319" s="25">
        <f>IF(OR(A319="",H319="",E319=""),0,MAX(0,ROUND((H319-E319)*1440,0)))</f>
      </c>
      <c r="O319" s="25">
        <f>IF(OR(A319="",I319="",F319=""),0,MAX(0,ROUND((F319-I319)*1440,0)))</f>
      </c>
      <c r="P319" s="12">
        <f>IF(OR(L319="",M319=""),0,MAX(0,ROUND((M319-L319)*24-G319,2)))</f>
      </c>
      <c r="Q319" s="12">
        <f>IF(P319=0,0,MIN(P319,'00_Parametres'!$B$23))</f>
      </c>
      <c r="R319" s="12">
        <f>IF(P319=0,0,MAX(0,P319-'00_Parametres'!$B$23))</f>
      </c>
      <c r="S319" s="10"/>
      <c r="T319" s="10"/>
      <c r="U319" s="10"/>
    </row>
    <row r="320" spans="1:21" x14ac:dyDescent="0.25">
      <c r="A320" s="18"/>
      <c r="B320" s="18"/>
      <c r="C320" s="9">
        <f>IF(B320="","",IFERROR(VLOOKUP(B320,'01_Employes'!$A$6:$Q$30,4,FALSE),"⚠ ID inconnu"))</f>
      </c>
      <c r="D320" s="9">
        <f>IF(A320="","",TEXT(A320,"dddd"))</f>
      </c>
      <c r="E320" s="24">
        <f>IF(A320="","",IFERROR(INDEX('00_Parametres'!$C$7:$C$13,WEEKDAY(A320,2)),""))</f>
      </c>
      <c r="F320" s="24">
        <f>IF(A320="","",IFERROR(INDEX('00_Parametres'!$D$7:$D$13,WEEKDAY(A320,2)),""))</f>
      </c>
      <c r="G320" s="24">
        <f>IF(A320="","",IFERROR(INDEX('00_Parametres'!$E$7:$E$13,WEEKDAY(A320,2)),0))</f>
      </c>
      <c r="H320" s="11"/>
      <c r="I320" s="11"/>
      <c r="J320" s="11"/>
      <c r="K320" s="11"/>
      <c r="L320" s="12">
        <f>IF(OR(A320="",H320=""),"",IF(H320&lt;E320,IF(OR(J320="Oui",'00_Parametres'!$B$28="Oui"),H320,E320),H320))</f>
      </c>
      <c r="M320" s="12">
        <f>IF(OR(A320="",I320=""),"",IF(I320&gt;F320,IF(OR(K320="Oui",'00_Parametres'!$B$29="Oui"),I320,F320),I320))</f>
      </c>
      <c r="N320" s="25">
        <f>IF(OR(A320="",H320="",E320=""),0,MAX(0,ROUND((H320-E320)*1440,0)))</f>
      </c>
      <c r="O320" s="25">
        <f>IF(OR(A320="",I320="",F320=""),0,MAX(0,ROUND((F320-I320)*1440,0)))</f>
      </c>
      <c r="P320" s="12">
        <f>IF(OR(L320="",M320=""),0,MAX(0,ROUND((M320-L320)*24-G320,2)))</f>
      </c>
      <c r="Q320" s="12">
        <f>IF(P320=0,0,MIN(P320,'00_Parametres'!$B$23))</f>
      </c>
      <c r="R320" s="12">
        <f>IF(P320=0,0,MAX(0,P320-'00_Parametres'!$B$23))</f>
      </c>
      <c r="S320" s="10"/>
      <c r="T320" s="10"/>
      <c r="U320" s="10"/>
    </row>
    <row r="321" spans="1:21" x14ac:dyDescent="0.25">
      <c r="A321" s="18"/>
      <c r="B321" s="18"/>
      <c r="C321" s="9">
        <f>IF(B321="","",IFERROR(VLOOKUP(B321,'01_Employes'!$A$6:$Q$30,4,FALSE),"⚠ ID inconnu"))</f>
      </c>
      <c r="D321" s="9">
        <f>IF(A321="","",TEXT(A321,"dddd"))</f>
      </c>
      <c r="E321" s="24">
        <f>IF(A321="","",IFERROR(INDEX('00_Parametres'!$C$7:$C$13,WEEKDAY(A321,2)),""))</f>
      </c>
      <c r="F321" s="24">
        <f>IF(A321="","",IFERROR(INDEX('00_Parametres'!$D$7:$D$13,WEEKDAY(A321,2)),""))</f>
      </c>
      <c r="G321" s="24">
        <f>IF(A321="","",IFERROR(INDEX('00_Parametres'!$E$7:$E$13,WEEKDAY(A321,2)),0))</f>
      </c>
      <c r="H321" s="11"/>
      <c r="I321" s="11"/>
      <c r="J321" s="11"/>
      <c r="K321" s="11"/>
      <c r="L321" s="12">
        <f>IF(OR(A321="",H321=""),"",IF(H321&lt;E321,IF(OR(J321="Oui",'00_Parametres'!$B$28="Oui"),H321,E321),H321))</f>
      </c>
      <c r="M321" s="12">
        <f>IF(OR(A321="",I321=""),"",IF(I321&gt;F321,IF(OR(K321="Oui",'00_Parametres'!$B$29="Oui"),I321,F321),I321))</f>
      </c>
      <c r="N321" s="25">
        <f>IF(OR(A321="",H321="",E321=""),0,MAX(0,ROUND((H321-E321)*1440,0)))</f>
      </c>
      <c r="O321" s="25">
        <f>IF(OR(A321="",I321="",F321=""),0,MAX(0,ROUND((F321-I321)*1440,0)))</f>
      </c>
      <c r="P321" s="12">
        <f>IF(OR(L321="",M321=""),0,MAX(0,ROUND((M321-L321)*24-G321,2)))</f>
      </c>
      <c r="Q321" s="12">
        <f>IF(P321=0,0,MIN(P321,'00_Parametres'!$B$23))</f>
      </c>
      <c r="R321" s="12">
        <f>IF(P321=0,0,MAX(0,P321-'00_Parametres'!$B$23))</f>
      </c>
      <c r="S321" s="10"/>
      <c r="T321" s="10"/>
      <c r="U321" s="10"/>
    </row>
    <row r="322" spans="1:21" x14ac:dyDescent="0.25">
      <c r="A322" s="18"/>
      <c r="B322" s="18"/>
      <c r="C322" s="9">
        <f>IF(B322="","",IFERROR(VLOOKUP(B322,'01_Employes'!$A$6:$Q$30,4,FALSE),"⚠ ID inconnu"))</f>
      </c>
      <c r="D322" s="9">
        <f>IF(A322="","",TEXT(A322,"dddd"))</f>
      </c>
      <c r="E322" s="24">
        <f>IF(A322="","",IFERROR(INDEX('00_Parametres'!$C$7:$C$13,WEEKDAY(A322,2)),""))</f>
      </c>
      <c r="F322" s="24">
        <f>IF(A322="","",IFERROR(INDEX('00_Parametres'!$D$7:$D$13,WEEKDAY(A322,2)),""))</f>
      </c>
      <c r="G322" s="24">
        <f>IF(A322="","",IFERROR(INDEX('00_Parametres'!$E$7:$E$13,WEEKDAY(A322,2)),0))</f>
      </c>
      <c r="H322" s="11"/>
      <c r="I322" s="11"/>
      <c r="J322" s="11"/>
      <c r="K322" s="11"/>
      <c r="L322" s="12">
        <f>IF(OR(A322="",H322=""),"",IF(H322&lt;E322,IF(OR(J322="Oui",'00_Parametres'!$B$28="Oui"),H322,E322),H322))</f>
      </c>
      <c r="M322" s="12">
        <f>IF(OR(A322="",I322=""),"",IF(I322&gt;F322,IF(OR(K322="Oui",'00_Parametres'!$B$29="Oui"),I322,F322),I322))</f>
      </c>
      <c r="N322" s="25">
        <f>IF(OR(A322="",H322="",E322=""),0,MAX(0,ROUND((H322-E322)*1440,0)))</f>
      </c>
      <c r="O322" s="25">
        <f>IF(OR(A322="",I322="",F322=""),0,MAX(0,ROUND((F322-I322)*1440,0)))</f>
      </c>
      <c r="P322" s="12">
        <f>IF(OR(L322="",M322=""),0,MAX(0,ROUND((M322-L322)*24-G322,2)))</f>
      </c>
      <c r="Q322" s="12">
        <f>IF(P322=0,0,MIN(P322,'00_Parametres'!$B$23))</f>
      </c>
      <c r="R322" s="12">
        <f>IF(P322=0,0,MAX(0,P322-'00_Parametres'!$B$23))</f>
      </c>
      <c r="S322" s="10"/>
      <c r="T322" s="10"/>
      <c r="U322" s="10"/>
    </row>
    <row r="323" spans="1:21" x14ac:dyDescent="0.25">
      <c r="A323" s="18"/>
      <c r="B323" s="18"/>
      <c r="C323" s="9">
        <f>IF(B323="","",IFERROR(VLOOKUP(B323,'01_Employes'!$A$6:$Q$30,4,FALSE),"⚠ ID inconnu"))</f>
      </c>
      <c r="D323" s="9">
        <f>IF(A323="","",TEXT(A323,"dddd"))</f>
      </c>
      <c r="E323" s="24">
        <f>IF(A323="","",IFERROR(INDEX('00_Parametres'!$C$7:$C$13,WEEKDAY(A323,2)),""))</f>
      </c>
      <c r="F323" s="24">
        <f>IF(A323="","",IFERROR(INDEX('00_Parametres'!$D$7:$D$13,WEEKDAY(A323,2)),""))</f>
      </c>
      <c r="G323" s="24">
        <f>IF(A323="","",IFERROR(INDEX('00_Parametres'!$E$7:$E$13,WEEKDAY(A323,2)),0))</f>
      </c>
      <c r="H323" s="11"/>
      <c r="I323" s="11"/>
      <c r="J323" s="11"/>
      <c r="K323" s="11"/>
      <c r="L323" s="12">
        <f>IF(OR(A323="",H323=""),"",IF(H323&lt;E323,IF(OR(J323="Oui",'00_Parametres'!$B$28="Oui"),H323,E323),H323))</f>
      </c>
      <c r="M323" s="12">
        <f>IF(OR(A323="",I323=""),"",IF(I323&gt;F323,IF(OR(K323="Oui",'00_Parametres'!$B$29="Oui"),I323,F323),I323))</f>
      </c>
      <c r="N323" s="25">
        <f>IF(OR(A323="",H323="",E323=""),0,MAX(0,ROUND((H323-E323)*1440,0)))</f>
      </c>
      <c r="O323" s="25">
        <f>IF(OR(A323="",I323="",F323=""),0,MAX(0,ROUND((F323-I323)*1440,0)))</f>
      </c>
      <c r="P323" s="12">
        <f>IF(OR(L323="",M323=""),0,MAX(0,ROUND((M323-L323)*24-G323,2)))</f>
      </c>
      <c r="Q323" s="12">
        <f>IF(P323=0,0,MIN(P323,'00_Parametres'!$B$23))</f>
      </c>
      <c r="R323" s="12">
        <f>IF(P323=0,0,MAX(0,P323-'00_Parametres'!$B$23))</f>
      </c>
      <c r="S323" s="10"/>
      <c r="T323" s="10"/>
      <c r="U323" s="10"/>
    </row>
    <row r="324" spans="1:21" x14ac:dyDescent="0.25">
      <c r="A324" s="18"/>
      <c r="B324" s="18"/>
      <c r="C324" s="9">
        <f>IF(B324="","",IFERROR(VLOOKUP(B324,'01_Employes'!$A$6:$Q$30,4,FALSE),"⚠ ID inconnu"))</f>
      </c>
      <c r="D324" s="9">
        <f>IF(A324="","",TEXT(A324,"dddd"))</f>
      </c>
      <c r="E324" s="24">
        <f>IF(A324="","",IFERROR(INDEX('00_Parametres'!$C$7:$C$13,WEEKDAY(A324,2)),""))</f>
      </c>
      <c r="F324" s="24">
        <f>IF(A324="","",IFERROR(INDEX('00_Parametres'!$D$7:$D$13,WEEKDAY(A324,2)),""))</f>
      </c>
      <c r="G324" s="24">
        <f>IF(A324="","",IFERROR(INDEX('00_Parametres'!$E$7:$E$13,WEEKDAY(A324,2)),0))</f>
      </c>
      <c r="H324" s="11"/>
      <c r="I324" s="11"/>
      <c r="J324" s="11"/>
      <c r="K324" s="11"/>
      <c r="L324" s="12">
        <f>IF(OR(A324="",H324=""),"",IF(H324&lt;E324,IF(OR(J324="Oui",'00_Parametres'!$B$28="Oui"),H324,E324),H324))</f>
      </c>
      <c r="M324" s="12">
        <f>IF(OR(A324="",I324=""),"",IF(I324&gt;F324,IF(OR(K324="Oui",'00_Parametres'!$B$29="Oui"),I324,F324),I324))</f>
      </c>
      <c r="N324" s="25">
        <f>IF(OR(A324="",H324="",E324=""),0,MAX(0,ROUND((H324-E324)*1440,0)))</f>
      </c>
      <c r="O324" s="25">
        <f>IF(OR(A324="",I324="",F324=""),0,MAX(0,ROUND((F324-I324)*1440,0)))</f>
      </c>
      <c r="P324" s="12">
        <f>IF(OR(L324="",M324=""),0,MAX(0,ROUND((M324-L324)*24-G324,2)))</f>
      </c>
      <c r="Q324" s="12">
        <f>IF(P324=0,0,MIN(P324,'00_Parametres'!$B$23))</f>
      </c>
      <c r="R324" s="12">
        <f>IF(P324=0,0,MAX(0,P324-'00_Parametres'!$B$23))</f>
      </c>
      <c r="S324" s="10"/>
      <c r="T324" s="10"/>
      <c r="U324" s="10"/>
    </row>
    <row r="325" spans="1:21" x14ac:dyDescent="0.25">
      <c r="A325" s="18"/>
      <c r="B325" s="18"/>
      <c r="C325" s="9">
        <f>IF(B325="","",IFERROR(VLOOKUP(B325,'01_Employes'!$A$6:$Q$30,4,FALSE),"⚠ ID inconnu"))</f>
      </c>
      <c r="D325" s="9">
        <f>IF(A325="","",TEXT(A325,"dddd"))</f>
      </c>
      <c r="E325" s="24">
        <f>IF(A325="","",IFERROR(INDEX('00_Parametres'!$C$7:$C$13,WEEKDAY(A325,2)),""))</f>
      </c>
      <c r="F325" s="24">
        <f>IF(A325="","",IFERROR(INDEX('00_Parametres'!$D$7:$D$13,WEEKDAY(A325,2)),""))</f>
      </c>
      <c r="G325" s="24">
        <f>IF(A325="","",IFERROR(INDEX('00_Parametres'!$E$7:$E$13,WEEKDAY(A325,2)),0))</f>
      </c>
      <c r="H325" s="11"/>
      <c r="I325" s="11"/>
      <c r="J325" s="11"/>
      <c r="K325" s="11"/>
      <c r="L325" s="12">
        <f>IF(OR(A325="",H325=""),"",IF(H325&lt;E325,IF(OR(J325="Oui",'00_Parametres'!$B$28="Oui"),H325,E325),H325))</f>
      </c>
      <c r="M325" s="12">
        <f>IF(OR(A325="",I325=""),"",IF(I325&gt;F325,IF(OR(K325="Oui",'00_Parametres'!$B$29="Oui"),I325,F325),I325))</f>
      </c>
      <c r="N325" s="25">
        <f>IF(OR(A325="",H325="",E325=""),0,MAX(0,ROUND((H325-E325)*1440,0)))</f>
      </c>
      <c r="O325" s="25">
        <f>IF(OR(A325="",I325="",F325=""),0,MAX(0,ROUND((F325-I325)*1440,0)))</f>
      </c>
      <c r="P325" s="12">
        <f>IF(OR(L325="",M325=""),0,MAX(0,ROUND((M325-L325)*24-G325,2)))</f>
      </c>
      <c r="Q325" s="12">
        <f>IF(P325=0,0,MIN(P325,'00_Parametres'!$B$23))</f>
      </c>
      <c r="R325" s="12">
        <f>IF(P325=0,0,MAX(0,P325-'00_Parametres'!$B$23))</f>
      </c>
      <c r="S325" s="10"/>
      <c r="T325" s="10"/>
      <c r="U325" s="10"/>
    </row>
    <row r="326" spans="1:21" x14ac:dyDescent="0.25">
      <c r="A326" s="18"/>
      <c r="B326" s="18"/>
      <c r="C326" s="9">
        <f>IF(B326="","",IFERROR(VLOOKUP(B326,'01_Employes'!$A$6:$Q$30,4,FALSE),"⚠ ID inconnu"))</f>
      </c>
      <c r="D326" s="9">
        <f>IF(A326="","",TEXT(A326,"dddd"))</f>
      </c>
      <c r="E326" s="24">
        <f>IF(A326="","",IFERROR(INDEX('00_Parametres'!$C$7:$C$13,WEEKDAY(A326,2)),""))</f>
      </c>
      <c r="F326" s="24">
        <f>IF(A326="","",IFERROR(INDEX('00_Parametres'!$D$7:$D$13,WEEKDAY(A326,2)),""))</f>
      </c>
      <c r="G326" s="24">
        <f>IF(A326="","",IFERROR(INDEX('00_Parametres'!$E$7:$E$13,WEEKDAY(A326,2)),0))</f>
      </c>
      <c r="H326" s="11"/>
      <c r="I326" s="11"/>
      <c r="J326" s="11"/>
      <c r="K326" s="11"/>
      <c r="L326" s="12">
        <f>IF(OR(A326="",H326=""),"",IF(H326&lt;E326,IF(OR(J326="Oui",'00_Parametres'!$B$28="Oui"),H326,E326),H326))</f>
      </c>
      <c r="M326" s="12">
        <f>IF(OR(A326="",I326=""),"",IF(I326&gt;F326,IF(OR(K326="Oui",'00_Parametres'!$B$29="Oui"),I326,F326),I326))</f>
      </c>
      <c r="N326" s="25">
        <f>IF(OR(A326="",H326="",E326=""),0,MAX(0,ROUND((H326-E326)*1440,0)))</f>
      </c>
      <c r="O326" s="25">
        <f>IF(OR(A326="",I326="",F326=""),0,MAX(0,ROUND((F326-I326)*1440,0)))</f>
      </c>
      <c r="P326" s="12">
        <f>IF(OR(L326="",M326=""),0,MAX(0,ROUND((M326-L326)*24-G326,2)))</f>
      </c>
      <c r="Q326" s="12">
        <f>IF(P326=0,0,MIN(P326,'00_Parametres'!$B$23))</f>
      </c>
      <c r="R326" s="12">
        <f>IF(P326=0,0,MAX(0,P326-'00_Parametres'!$B$23))</f>
      </c>
      <c r="S326" s="10"/>
      <c r="T326" s="10"/>
      <c r="U326" s="10"/>
    </row>
    <row r="327" spans="1:21" x14ac:dyDescent="0.25">
      <c r="A327" s="18"/>
      <c r="B327" s="18"/>
      <c r="C327" s="9">
        <f>IF(B327="","",IFERROR(VLOOKUP(B327,'01_Employes'!$A$6:$Q$30,4,FALSE),"⚠ ID inconnu"))</f>
      </c>
      <c r="D327" s="9">
        <f>IF(A327="","",TEXT(A327,"dddd"))</f>
      </c>
      <c r="E327" s="24">
        <f>IF(A327="","",IFERROR(INDEX('00_Parametres'!$C$7:$C$13,WEEKDAY(A327,2)),""))</f>
      </c>
      <c r="F327" s="24">
        <f>IF(A327="","",IFERROR(INDEX('00_Parametres'!$D$7:$D$13,WEEKDAY(A327,2)),""))</f>
      </c>
      <c r="G327" s="24">
        <f>IF(A327="","",IFERROR(INDEX('00_Parametres'!$E$7:$E$13,WEEKDAY(A327,2)),0))</f>
      </c>
      <c r="H327" s="11"/>
      <c r="I327" s="11"/>
      <c r="J327" s="11"/>
      <c r="K327" s="11"/>
      <c r="L327" s="12">
        <f>IF(OR(A327="",H327=""),"",IF(H327&lt;E327,IF(OR(J327="Oui",'00_Parametres'!$B$28="Oui"),H327,E327),H327))</f>
      </c>
      <c r="M327" s="12">
        <f>IF(OR(A327="",I327=""),"",IF(I327&gt;F327,IF(OR(K327="Oui",'00_Parametres'!$B$29="Oui"),I327,F327),I327))</f>
      </c>
      <c r="N327" s="25">
        <f>IF(OR(A327="",H327="",E327=""),0,MAX(0,ROUND((H327-E327)*1440,0)))</f>
      </c>
      <c r="O327" s="25">
        <f>IF(OR(A327="",I327="",F327=""),0,MAX(0,ROUND((F327-I327)*1440,0)))</f>
      </c>
      <c r="P327" s="12">
        <f>IF(OR(L327="",M327=""),0,MAX(0,ROUND((M327-L327)*24-G327,2)))</f>
      </c>
      <c r="Q327" s="12">
        <f>IF(P327=0,0,MIN(P327,'00_Parametres'!$B$23))</f>
      </c>
      <c r="R327" s="12">
        <f>IF(P327=0,0,MAX(0,P327-'00_Parametres'!$B$23))</f>
      </c>
      <c r="S327" s="10"/>
      <c r="T327" s="10"/>
      <c r="U327" s="10"/>
    </row>
    <row r="328" spans="1:21" x14ac:dyDescent="0.25">
      <c r="A328" s="18"/>
      <c r="B328" s="18"/>
      <c r="C328" s="9">
        <f>IF(B328="","",IFERROR(VLOOKUP(B328,'01_Employes'!$A$6:$Q$30,4,FALSE),"⚠ ID inconnu"))</f>
      </c>
      <c r="D328" s="9">
        <f>IF(A328="","",TEXT(A328,"dddd"))</f>
      </c>
      <c r="E328" s="24">
        <f>IF(A328="","",IFERROR(INDEX('00_Parametres'!$C$7:$C$13,WEEKDAY(A328,2)),""))</f>
      </c>
      <c r="F328" s="24">
        <f>IF(A328="","",IFERROR(INDEX('00_Parametres'!$D$7:$D$13,WEEKDAY(A328,2)),""))</f>
      </c>
      <c r="G328" s="24">
        <f>IF(A328="","",IFERROR(INDEX('00_Parametres'!$E$7:$E$13,WEEKDAY(A328,2)),0))</f>
      </c>
      <c r="H328" s="11"/>
      <c r="I328" s="11"/>
      <c r="J328" s="11"/>
      <c r="K328" s="11"/>
      <c r="L328" s="12">
        <f>IF(OR(A328="",H328=""),"",IF(H328&lt;E328,IF(OR(J328="Oui",'00_Parametres'!$B$28="Oui"),H328,E328),H328))</f>
      </c>
      <c r="M328" s="12">
        <f>IF(OR(A328="",I328=""),"",IF(I328&gt;F328,IF(OR(K328="Oui",'00_Parametres'!$B$29="Oui"),I328,F328),I328))</f>
      </c>
      <c r="N328" s="25">
        <f>IF(OR(A328="",H328="",E328=""),0,MAX(0,ROUND((H328-E328)*1440,0)))</f>
      </c>
      <c r="O328" s="25">
        <f>IF(OR(A328="",I328="",F328=""),0,MAX(0,ROUND((F328-I328)*1440,0)))</f>
      </c>
      <c r="P328" s="12">
        <f>IF(OR(L328="",M328=""),0,MAX(0,ROUND((M328-L328)*24-G328,2)))</f>
      </c>
      <c r="Q328" s="12">
        <f>IF(P328=0,0,MIN(P328,'00_Parametres'!$B$23))</f>
      </c>
      <c r="R328" s="12">
        <f>IF(P328=0,0,MAX(0,P328-'00_Parametres'!$B$23))</f>
      </c>
      <c r="S328" s="10"/>
      <c r="T328" s="10"/>
      <c r="U328" s="10"/>
    </row>
    <row r="329" spans="1:21" x14ac:dyDescent="0.25">
      <c r="A329" s="18"/>
      <c r="B329" s="18"/>
      <c r="C329" s="9">
        <f>IF(B329="","",IFERROR(VLOOKUP(B329,'01_Employes'!$A$6:$Q$30,4,FALSE),"⚠ ID inconnu"))</f>
      </c>
      <c r="D329" s="9">
        <f>IF(A329="","",TEXT(A329,"dddd"))</f>
      </c>
      <c r="E329" s="24">
        <f>IF(A329="","",IFERROR(INDEX('00_Parametres'!$C$7:$C$13,WEEKDAY(A329,2)),""))</f>
      </c>
      <c r="F329" s="24">
        <f>IF(A329="","",IFERROR(INDEX('00_Parametres'!$D$7:$D$13,WEEKDAY(A329,2)),""))</f>
      </c>
      <c r="G329" s="24">
        <f>IF(A329="","",IFERROR(INDEX('00_Parametres'!$E$7:$E$13,WEEKDAY(A329,2)),0))</f>
      </c>
      <c r="H329" s="11"/>
      <c r="I329" s="11"/>
      <c r="J329" s="11"/>
      <c r="K329" s="11"/>
      <c r="L329" s="12">
        <f>IF(OR(A329="",H329=""),"",IF(H329&lt;E329,IF(OR(J329="Oui",'00_Parametres'!$B$28="Oui"),H329,E329),H329))</f>
      </c>
      <c r="M329" s="12">
        <f>IF(OR(A329="",I329=""),"",IF(I329&gt;F329,IF(OR(K329="Oui",'00_Parametres'!$B$29="Oui"),I329,F329),I329))</f>
      </c>
      <c r="N329" s="25">
        <f>IF(OR(A329="",H329="",E329=""),0,MAX(0,ROUND((H329-E329)*1440,0)))</f>
      </c>
      <c r="O329" s="25">
        <f>IF(OR(A329="",I329="",F329=""),0,MAX(0,ROUND((F329-I329)*1440,0)))</f>
      </c>
      <c r="P329" s="12">
        <f>IF(OR(L329="",M329=""),0,MAX(0,ROUND((M329-L329)*24-G329,2)))</f>
      </c>
      <c r="Q329" s="12">
        <f>IF(P329=0,0,MIN(P329,'00_Parametres'!$B$23))</f>
      </c>
      <c r="R329" s="12">
        <f>IF(P329=0,0,MAX(0,P329-'00_Parametres'!$B$23))</f>
      </c>
      <c r="S329" s="10"/>
      <c r="T329" s="10"/>
      <c r="U329" s="10"/>
    </row>
    <row r="330" spans="1:21" x14ac:dyDescent="0.25">
      <c r="A330" s="18"/>
      <c r="B330" s="18"/>
      <c r="C330" s="9">
        <f>IF(B330="","",IFERROR(VLOOKUP(B330,'01_Employes'!$A$6:$Q$30,4,FALSE),"⚠ ID inconnu"))</f>
      </c>
      <c r="D330" s="9">
        <f>IF(A330="","",TEXT(A330,"dddd"))</f>
      </c>
      <c r="E330" s="24">
        <f>IF(A330="","",IFERROR(INDEX('00_Parametres'!$C$7:$C$13,WEEKDAY(A330,2)),""))</f>
      </c>
      <c r="F330" s="24">
        <f>IF(A330="","",IFERROR(INDEX('00_Parametres'!$D$7:$D$13,WEEKDAY(A330,2)),""))</f>
      </c>
      <c r="G330" s="24">
        <f>IF(A330="","",IFERROR(INDEX('00_Parametres'!$E$7:$E$13,WEEKDAY(A330,2)),0))</f>
      </c>
      <c r="H330" s="11"/>
      <c r="I330" s="11"/>
      <c r="J330" s="11"/>
      <c r="K330" s="11"/>
      <c r="L330" s="12">
        <f>IF(OR(A330="",H330=""),"",IF(H330&lt;E330,IF(OR(J330="Oui",'00_Parametres'!$B$28="Oui"),H330,E330),H330))</f>
      </c>
      <c r="M330" s="12">
        <f>IF(OR(A330="",I330=""),"",IF(I330&gt;F330,IF(OR(K330="Oui",'00_Parametres'!$B$29="Oui"),I330,F330),I330))</f>
      </c>
      <c r="N330" s="25">
        <f>IF(OR(A330="",H330="",E330=""),0,MAX(0,ROUND((H330-E330)*1440,0)))</f>
      </c>
      <c r="O330" s="25">
        <f>IF(OR(A330="",I330="",F330=""),0,MAX(0,ROUND((F330-I330)*1440,0)))</f>
      </c>
      <c r="P330" s="12">
        <f>IF(OR(L330="",M330=""),0,MAX(0,ROUND((M330-L330)*24-G330,2)))</f>
      </c>
      <c r="Q330" s="12">
        <f>IF(P330=0,0,MIN(P330,'00_Parametres'!$B$23))</f>
      </c>
      <c r="R330" s="12">
        <f>IF(P330=0,0,MAX(0,P330-'00_Parametres'!$B$23))</f>
      </c>
      <c r="S330" s="10"/>
      <c r="T330" s="10"/>
      <c r="U330" s="10"/>
    </row>
    <row r="331" spans="1:21" x14ac:dyDescent="0.25">
      <c r="A331" s="18"/>
      <c r="B331" s="18"/>
      <c r="C331" s="9">
        <f>IF(B331="","",IFERROR(VLOOKUP(B331,'01_Employes'!$A$6:$Q$30,4,FALSE),"⚠ ID inconnu"))</f>
      </c>
      <c r="D331" s="9">
        <f>IF(A331="","",TEXT(A331,"dddd"))</f>
      </c>
      <c r="E331" s="24">
        <f>IF(A331="","",IFERROR(INDEX('00_Parametres'!$C$7:$C$13,WEEKDAY(A331,2)),""))</f>
      </c>
      <c r="F331" s="24">
        <f>IF(A331="","",IFERROR(INDEX('00_Parametres'!$D$7:$D$13,WEEKDAY(A331,2)),""))</f>
      </c>
      <c r="G331" s="24">
        <f>IF(A331="","",IFERROR(INDEX('00_Parametres'!$E$7:$E$13,WEEKDAY(A331,2)),0))</f>
      </c>
      <c r="H331" s="11"/>
      <c r="I331" s="11"/>
      <c r="J331" s="11"/>
      <c r="K331" s="11"/>
      <c r="L331" s="12">
        <f>IF(OR(A331="",H331=""),"",IF(H331&lt;E331,IF(OR(J331="Oui",'00_Parametres'!$B$28="Oui"),H331,E331),H331))</f>
      </c>
      <c r="M331" s="12">
        <f>IF(OR(A331="",I331=""),"",IF(I331&gt;F331,IF(OR(K331="Oui",'00_Parametres'!$B$29="Oui"),I331,F331),I331))</f>
      </c>
      <c r="N331" s="25">
        <f>IF(OR(A331="",H331="",E331=""),0,MAX(0,ROUND((H331-E331)*1440,0)))</f>
      </c>
      <c r="O331" s="25">
        <f>IF(OR(A331="",I331="",F331=""),0,MAX(0,ROUND((F331-I331)*1440,0)))</f>
      </c>
      <c r="P331" s="12">
        <f>IF(OR(L331="",M331=""),0,MAX(0,ROUND((M331-L331)*24-G331,2)))</f>
      </c>
      <c r="Q331" s="12">
        <f>IF(P331=0,0,MIN(P331,'00_Parametres'!$B$23))</f>
      </c>
      <c r="R331" s="12">
        <f>IF(P331=0,0,MAX(0,P331-'00_Parametres'!$B$23))</f>
      </c>
      <c r="S331" s="10"/>
      <c r="T331" s="10"/>
      <c r="U331" s="10"/>
    </row>
    <row r="332" spans="1:21" x14ac:dyDescent="0.25">
      <c r="A332" s="18"/>
      <c r="B332" s="18"/>
      <c r="C332" s="9">
        <f>IF(B332="","",IFERROR(VLOOKUP(B332,'01_Employes'!$A$6:$Q$30,4,FALSE),"⚠ ID inconnu"))</f>
      </c>
      <c r="D332" s="9">
        <f>IF(A332="","",TEXT(A332,"dddd"))</f>
      </c>
      <c r="E332" s="24">
        <f>IF(A332="","",IFERROR(INDEX('00_Parametres'!$C$7:$C$13,WEEKDAY(A332,2)),""))</f>
      </c>
      <c r="F332" s="24">
        <f>IF(A332="","",IFERROR(INDEX('00_Parametres'!$D$7:$D$13,WEEKDAY(A332,2)),""))</f>
      </c>
      <c r="G332" s="24">
        <f>IF(A332="","",IFERROR(INDEX('00_Parametres'!$E$7:$E$13,WEEKDAY(A332,2)),0))</f>
      </c>
      <c r="H332" s="11"/>
      <c r="I332" s="11"/>
      <c r="J332" s="11"/>
      <c r="K332" s="11"/>
      <c r="L332" s="12">
        <f>IF(OR(A332="",H332=""),"",IF(H332&lt;E332,IF(OR(J332="Oui",'00_Parametres'!$B$28="Oui"),H332,E332),H332))</f>
      </c>
      <c r="M332" s="12">
        <f>IF(OR(A332="",I332=""),"",IF(I332&gt;F332,IF(OR(K332="Oui",'00_Parametres'!$B$29="Oui"),I332,F332),I332))</f>
      </c>
      <c r="N332" s="25">
        <f>IF(OR(A332="",H332="",E332=""),0,MAX(0,ROUND((H332-E332)*1440,0)))</f>
      </c>
      <c r="O332" s="25">
        <f>IF(OR(A332="",I332="",F332=""),0,MAX(0,ROUND((F332-I332)*1440,0)))</f>
      </c>
      <c r="P332" s="12">
        <f>IF(OR(L332="",M332=""),0,MAX(0,ROUND((M332-L332)*24-G332,2)))</f>
      </c>
      <c r="Q332" s="12">
        <f>IF(P332=0,0,MIN(P332,'00_Parametres'!$B$23))</f>
      </c>
      <c r="R332" s="12">
        <f>IF(P332=0,0,MAX(0,P332-'00_Parametres'!$B$23))</f>
      </c>
      <c r="S332" s="10"/>
      <c r="T332" s="10"/>
      <c r="U332" s="10"/>
    </row>
    <row r="333" spans="1:21" x14ac:dyDescent="0.25">
      <c r="A333" s="18"/>
      <c r="B333" s="18"/>
      <c r="C333" s="9">
        <f>IF(B333="","",IFERROR(VLOOKUP(B333,'01_Employes'!$A$6:$Q$30,4,FALSE),"⚠ ID inconnu"))</f>
      </c>
      <c r="D333" s="9">
        <f>IF(A333="","",TEXT(A333,"dddd"))</f>
      </c>
      <c r="E333" s="24">
        <f>IF(A333="","",IFERROR(INDEX('00_Parametres'!$C$7:$C$13,WEEKDAY(A333,2)),""))</f>
      </c>
      <c r="F333" s="24">
        <f>IF(A333="","",IFERROR(INDEX('00_Parametres'!$D$7:$D$13,WEEKDAY(A333,2)),""))</f>
      </c>
      <c r="G333" s="24">
        <f>IF(A333="","",IFERROR(INDEX('00_Parametres'!$E$7:$E$13,WEEKDAY(A333,2)),0))</f>
      </c>
      <c r="H333" s="11"/>
      <c r="I333" s="11"/>
      <c r="J333" s="11"/>
      <c r="K333" s="11"/>
      <c r="L333" s="12">
        <f>IF(OR(A333="",H333=""),"",IF(H333&lt;E333,IF(OR(J333="Oui",'00_Parametres'!$B$28="Oui"),H333,E333),H333))</f>
      </c>
      <c r="M333" s="12">
        <f>IF(OR(A333="",I333=""),"",IF(I333&gt;F333,IF(OR(K333="Oui",'00_Parametres'!$B$29="Oui"),I333,F333),I333))</f>
      </c>
      <c r="N333" s="25">
        <f>IF(OR(A333="",H333="",E333=""),0,MAX(0,ROUND((H333-E333)*1440,0)))</f>
      </c>
      <c r="O333" s="25">
        <f>IF(OR(A333="",I333="",F333=""),0,MAX(0,ROUND((F333-I333)*1440,0)))</f>
      </c>
      <c r="P333" s="12">
        <f>IF(OR(L333="",M333=""),0,MAX(0,ROUND((M333-L333)*24-G333,2)))</f>
      </c>
      <c r="Q333" s="12">
        <f>IF(P333=0,0,MIN(P333,'00_Parametres'!$B$23))</f>
      </c>
      <c r="R333" s="12">
        <f>IF(P333=0,0,MAX(0,P333-'00_Parametres'!$B$23))</f>
      </c>
      <c r="S333" s="10"/>
      <c r="T333" s="10"/>
      <c r="U333" s="10"/>
    </row>
    <row r="334" spans="1:21" x14ac:dyDescent="0.25">
      <c r="A334" s="18"/>
      <c r="B334" s="18"/>
      <c r="C334" s="9">
        <f>IF(B334="","",IFERROR(VLOOKUP(B334,'01_Employes'!$A$6:$Q$30,4,FALSE),"⚠ ID inconnu"))</f>
      </c>
      <c r="D334" s="9">
        <f>IF(A334="","",TEXT(A334,"dddd"))</f>
      </c>
      <c r="E334" s="24">
        <f>IF(A334="","",IFERROR(INDEX('00_Parametres'!$C$7:$C$13,WEEKDAY(A334,2)),""))</f>
      </c>
      <c r="F334" s="24">
        <f>IF(A334="","",IFERROR(INDEX('00_Parametres'!$D$7:$D$13,WEEKDAY(A334,2)),""))</f>
      </c>
      <c r="G334" s="24">
        <f>IF(A334="","",IFERROR(INDEX('00_Parametres'!$E$7:$E$13,WEEKDAY(A334,2)),0))</f>
      </c>
      <c r="H334" s="11"/>
      <c r="I334" s="11"/>
      <c r="J334" s="11"/>
      <c r="K334" s="11"/>
      <c r="L334" s="12">
        <f>IF(OR(A334="",H334=""),"",IF(H334&lt;E334,IF(OR(J334="Oui",'00_Parametres'!$B$28="Oui"),H334,E334),H334))</f>
      </c>
      <c r="M334" s="12">
        <f>IF(OR(A334="",I334=""),"",IF(I334&gt;F334,IF(OR(K334="Oui",'00_Parametres'!$B$29="Oui"),I334,F334),I334))</f>
      </c>
      <c r="N334" s="25">
        <f>IF(OR(A334="",H334="",E334=""),0,MAX(0,ROUND((H334-E334)*1440,0)))</f>
      </c>
      <c r="O334" s="25">
        <f>IF(OR(A334="",I334="",F334=""),0,MAX(0,ROUND((F334-I334)*1440,0)))</f>
      </c>
      <c r="P334" s="12">
        <f>IF(OR(L334="",M334=""),0,MAX(0,ROUND((M334-L334)*24-G334,2)))</f>
      </c>
      <c r="Q334" s="12">
        <f>IF(P334=0,0,MIN(P334,'00_Parametres'!$B$23))</f>
      </c>
      <c r="R334" s="12">
        <f>IF(P334=0,0,MAX(0,P334-'00_Parametres'!$B$23))</f>
      </c>
      <c r="S334" s="10"/>
      <c r="T334" s="10"/>
      <c r="U334" s="10"/>
    </row>
    <row r="335" spans="1:21" x14ac:dyDescent="0.25">
      <c r="A335" s="18"/>
      <c r="B335" s="18"/>
      <c r="C335" s="9">
        <f>IF(B335="","",IFERROR(VLOOKUP(B335,'01_Employes'!$A$6:$Q$30,4,FALSE),"⚠ ID inconnu"))</f>
      </c>
      <c r="D335" s="9">
        <f>IF(A335="","",TEXT(A335,"dddd"))</f>
      </c>
      <c r="E335" s="24">
        <f>IF(A335="","",IFERROR(INDEX('00_Parametres'!$C$7:$C$13,WEEKDAY(A335,2)),""))</f>
      </c>
      <c r="F335" s="24">
        <f>IF(A335="","",IFERROR(INDEX('00_Parametres'!$D$7:$D$13,WEEKDAY(A335,2)),""))</f>
      </c>
      <c r="G335" s="24">
        <f>IF(A335="","",IFERROR(INDEX('00_Parametres'!$E$7:$E$13,WEEKDAY(A335,2)),0))</f>
      </c>
      <c r="H335" s="11"/>
      <c r="I335" s="11"/>
      <c r="J335" s="11"/>
      <c r="K335" s="11"/>
      <c r="L335" s="12">
        <f>IF(OR(A335="",H335=""),"",IF(H335&lt;E335,IF(OR(J335="Oui",'00_Parametres'!$B$28="Oui"),H335,E335),H335))</f>
      </c>
      <c r="M335" s="12">
        <f>IF(OR(A335="",I335=""),"",IF(I335&gt;F335,IF(OR(K335="Oui",'00_Parametres'!$B$29="Oui"),I335,F335),I335))</f>
      </c>
      <c r="N335" s="25">
        <f>IF(OR(A335="",H335="",E335=""),0,MAX(0,ROUND((H335-E335)*1440,0)))</f>
      </c>
      <c r="O335" s="25">
        <f>IF(OR(A335="",I335="",F335=""),0,MAX(0,ROUND((F335-I335)*1440,0)))</f>
      </c>
      <c r="P335" s="12">
        <f>IF(OR(L335="",M335=""),0,MAX(0,ROUND((M335-L335)*24-G335,2)))</f>
      </c>
      <c r="Q335" s="12">
        <f>IF(P335=0,0,MIN(P335,'00_Parametres'!$B$23))</f>
      </c>
      <c r="R335" s="12">
        <f>IF(P335=0,0,MAX(0,P335-'00_Parametres'!$B$23))</f>
      </c>
      <c r="S335" s="10"/>
      <c r="T335" s="10"/>
      <c r="U335" s="10"/>
    </row>
    <row r="336" spans="1:21" x14ac:dyDescent="0.25">
      <c r="A336" s="18"/>
      <c r="B336" s="18"/>
      <c r="C336" s="9">
        <f>IF(B336="","",IFERROR(VLOOKUP(B336,'01_Employes'!$A$6:$Q$30,4,FALSE),"⚠ ID inconnu"))</f>
      </c>
      <c r="D336" s="9">
        <f>IF(A336="","",TEXT(A336,"dddd"))</f>
      </c>
      <c r="E336" s="24">
        <f>IF(A336="","",IFERROR(INDEX('00_Parametres'!$C$7:$C$13,WEEKDAY(A336,2)),""))</f>
      </c>
      <c r="F336" s="24">
        <f>IF(A336="","",IFERROR(INDEX('00_Parametres'!$D$7:$D$13,WEEKDAY(A336,2)),""))</f>
      </c>
      <c r="G336" s="24">
        <f>IF(A336="","",IFERROR(INDEX('00_Parametres'!$E$7:$E$13,WEEKDAY(A336,2)),0))</f>
      </c>
      <c r="H336" s="11"/>
      <c r="I336" s="11"/>
      <c r="J336" s="11"/>
      <c r="K336" s="11"/>
      <c r="L336" s="12">
        <f>IF(OR(A336="",H336=""),"",IF(H336&lt;E336,IF(OR(J336="Oui",'00_Parametres'!$B$28="Oui"),H336,E336),H336))</f>
      </c>
      <c r="M336" s="12">
        <f>IF(OR(A336="",I336=""),"",IF(I336&gt;F336,IF(OR(K336="Oui",'00_Parametres'!$B$29="Oui"),I336,F336),I336))</f>
      </c>
      <c r="N336" s="25">
        <f>IF(OR(A336="",H336="",E336=""),0,MAX(0,ROUND((H336-E336)*1440,0)))</f>
      </c>
      <c r="O336" s="25">
        <f>IF(OR(A336="",I336="",F336=""),0,MAX(0,ROUND((F336-I336)*1440,0)))</f>
      </c>
      <c r="P336" s="12">
        <f>IF(OR(L336="",M336=""),0,MAX(0,ROUND((M336-L336)*24-G336,2)))</f>
      </c>
      <c r="Q336" s="12">
        <f>IF(P336=0,0,MIN(P336,'00_Parametres'!$B$23))</f>
      </c>
      <c r="R336" s="12">
        <f>IF(P336=0,0,MAX(0,P336-'00_Parametres'!$B$23))</f>
      </c>
      <c r="S336" s="10"/>
      <c r="T336" s="10"/>
      <c r="U336" s="10"/>
    </row>
    <row r="337" spans="1:21" x14ac:dyDescent="0.25">
      <c r="A337" s="18"/>
      <c r="B337" s="18"/>
      <c r="C337" s="9">
        <f>IF(B337="","",IFERROR(VLOOKUP(B337,'01_Employes'!$A$6:$Q$30,4,FALSE),"⚠ ID inconnu"))</f>
      </c>
      <c r="D337" s="9">
        <f>IF(A337="","",TEXT(A337,"dddd"))</f>
      </c>
      <c r="E337" s="24">
        <f>IF(A337="","",IFERROR(INDEX('00_Parametres'!$C$7:$C$13,WEEKDAY(A337,2)),""))</f>
      </c>
      <c r="F337" s="24">
        <f>IF(A337="","",IFERROR(INDEX('00_Parametres'!$D$7:$D$13,WEEKDAY(A337,2)),""))</f>
      </c>
      <c r="G337" s="24">
        <f>IF(A337="","",IFERROR(INDEX('00_Parametres'!$E$7:$E$13,WEEKDAY(A337,2)),0))</f>
      </c>
      <c r="H337" s="11"/>
      <c r="I337" s="11"/>
      <c r="J337" s="11"/>
      <c r="K337" s="11"/>
      <c r="L337" s="12">
        <f>IF(OR(A337="",H337=""),"",IF(H337&lt;E337,IF(OR(J337="Oui",'00_Parametres'!$B$28="Oui"),H337,E337),H337))</f>
      </c>
      <c r="M337" s="12">
        <f>IF(OR(A337="",I337=""),"",IF(I337&gt;F337,IF(OR(K337="Oui",'00_Parametres'!$B$29="Oui"),I337,F337),I337))</f>
      </c>
      <c r="N337" s="25">
        <f>IF(OR(A337="",H337="",E337=""),0,MAX(0,ROUND((H337-E337)*1440,0)))</f>
      </c>
      <c r="O337" s="25">
        <f>IF(OR(A337="",I337="",F337=""),0,MAX(0,ROUND((F337-I337)*1440,0)))</f>
      </c>
      <c r="P337" s="12">
        <f>IF(OR(L337="",M337=""),0,MAX(0,ROUND((M337-L337)*24-G337,2)))</f>
      </c>
      <c r="Q337" s="12">
        <f>IF(P337=0,0,MIN(P337,'00_Parametres'!$B$23))</f>
      </c>
      <c r="R337" s="12">
        <f>IF(P337=0,0,MAX(0,P337-'00_Parametres'!$B$23))</f>
      </c>
      <c r="S337" s="10"/>
      <c r="T337" s="10"/>
      <c r="U337" s="10"/>
    </row>
    <row r="338" spans="1:21" x14ac:dyDescent="0.25">
      <c r="A338" s="18"/>
      <c r="B338" s="18"/>
      <c r="C338" s="9">
        <f>IF(B338="","",IFERROR(VLOOKUP(B338,'01_Employes'!$A$6:$Q$30,4,FALSE),"⚠ ID inconnu"))</f>
      </c>
      <c r="D338" s="9">
        <f>IF(A338="","",TEXT(A338,"dddd"))</f>
      </c>
      <c r="E338" s="24">
        <f>IF(A338="","",IFERROR(INDEX('00_Parametres'!$C$7:$C$13,WEEKDAY(A338,2)),""))</f>
      </c>
      <c r="F338" s="24">
        <f>IF(A338="","",IFERROR(INDEX('00_Parametres'!$D$7:$D$13,WEEKDAY(A338,2)),""))</f>
      </c>
      <c r="G338" s="24">
        <f>IF(A338="","",IFERROR(INDEX('00_Parametres'!$E$7:$E$13,WEEKDAY(A338,2)),0))</f>
      </c>
      <c r="H338" s="11"/>
      <c r="I338" s="11"/>
      <c r="J338" s="11"/>
      <c r="K338" s="11"/>
      <c r="L338" s="12">
        <f>IF(OR(A338="",H338=""),"",IF(H338&lt;E338,IF(OR(J338="Oui",'00_Parametres'!$B$28="Oui"),H338,E338),H338))</f>
      </c>
      <c r="M338" s="12">
        <f>IF(OR(A338="",I338=""),"",IF(I338&gt;F338,IF(OR(K338="Oui",'00_Parametres'!$B$29="Oui"),I338,F338),I338))</f>
      </c>
      <c r="N338" s="25">
        <f>IF(OR(A338="",H338="",E338=""),0,MAX(0,ROUND((H338-E338)*1440,0)))</f>
      </c>
      <c r="O338" s="25">
        <f>IF(OR(A338="",I338="",F338=""),0,MAX(0,ROUND((F338-I338)*1440,0)))</f>
      </c>
      <c r="P338" s="12">
        <f>IF(OR(L338="",M338=""),0,MAX(0,ROUND((M338-L338)*24-G338,2)))</f>
      </c>
      <c r="Q338" s="12">
        <f>IF(P338=0,0,MIN(P338,'00_Parametres'!$B$23))</f>
      </c>
      <c r="R338" s="12">
        <f>IF(P338=0,0,MAX(0,P338-'00_Parametres'!$B$23))</f>
      </c>
      <c r="S338" s="10"/>
      <c r="T338" s="10"/>
      <c r="U338" s="10"/>
    </row>
    <row r="339" spans="1:21" x14ac:dyDescent="0.25">
      <c r="A339" s="18"/>
      <c r="B339" s="18"/>
      <c r="C339" s="9">
        <f>IF(B339="","",IFERROR(VLOOKUP(B339,'01_Employes'!$A$6:$Q$30,4,FALSE),"⚠ ID inconnu"))</f>
      </c>
      <c r="D339" s="9">
        <f>IF(A339="","",TEXT(A339,"dddd"))</f>
      </c>
      <c r="E339" s="24">
        <f>IF(A339="","",IFERROR(INDEX('00_Parametres'!$C$7:$C$13,WEEKDAY(A339,2)),""))</f>
      </c>
      <c r="F339" s="24">
        <f>IF(A339="","",IFERROR(INDEX('00_Parametres'!$D$7:$D$13,WEEKDAY(A339,2)),""))</f>
      </c>
      <c r="G339" s="24">
        <f>IF(A339="","",IFERROR(INDEX('00_Parametres'!$E$7:$E$13,WEEKDAY(A339,2)),0))</f>
      </c>
      <c r="H339" s="11"/>
      <c r="I339" s="11"/>
      <c r="J339" s="11"/>
      <c r="K339" s="11"/>
      <c r="L339" s="12">
        <f>IF(OR(A339="",H339=""),"",IF(H339&lt;E339,IF(OR(J339="Oui",'00_Parametres'!$B$28="Oui"),H339,E339),H339))</f>
      </c>
      <c r="M339" s="12">
        <f>IF(OR(A339="",I339=""),"",IF(I339&gt;F339,IF(OR(K339="Oui",'00_Parametres'!$B$29="Oui"),I339,F339),I339))</f>
      </c>
      <c r="N339" s="25">
        <f>IF(OR(A339="",H339="",E339=""),0,MAX(0,ROUND((H339-E339)*1440,0)))</f>
      </c>
      <c r="O339" s="25">
        <f>IF(OR(A339="",I339="",F339=""),0,MAX(0,ROUND((F339-I339)*1440,0)))</f>
      </c>
      <c r="P339" s="12">
        <f>IF(OR(L339="",M339=""),0,MAX(0,ROUND((M339-L339)*24-G339,2)))</f>
      </c>
      <c r="Q339" s="12">
        <f>IF(P339=0,0,MIN(P339,'00_Parametres'!$B$23))</f>
      </c>
      <c r="R339" s="12">
        <f>IF(P339=0,0,MAX(0,P339-'00_Parametres'!$B$23))</f>
      </c>
      <c r="S339" s="10"/>
      <c r="T339" s="10"/>
      <c r="U339" s="10"/>
    </row>
    <row r="340" spans="1:21" x14ac:dyDescent="0.25">
      <c r="A340" s="18"/>
      <c r="B340" s="18"/>
      <c r="C340" s="9">
        <f>IF(B340="","",IFERROR(VLOOKUP(B340,'01_Employes'!$A$6:$Q$30,4,FALSE),"⚠ ID inconnu"))</f>
      </c>
      <c r="D340" s="9">
        <f>IF(A340="","",TEXT(A340,"dddd"))</f>
      </c>
      <c r="E340" s="24">
        <f>IF(A340="","",IFERROR(INDEX('00_Parametres'!$C$7:$C$13,WEEKDAY(A340,2)),""))</f>
      </c>
      <c r="F340" s="24">
        <f>IF(A340="","",IFERROR(INDEX('00_Parametres'!$D$7:$D$13,WEEKDAY(A340,2)),""))</f>
      </c>
      <c r="G340" s="24">
        <f>IF(A340="","",IFERROR(INDEX('00_Parametres'!$E$7:$E$13,WEEKDAY(A340,2)),0))</f>
      </c>
      <c r="H340" s="11"/>
      <c r="I340" s="11"/>
      <c r="J340" s="11"/>
      <c r="K340" s="11"/>
      <c r="L340" s="12">
        <f>IF(OR(A340="",H340=""),"",IF(H340&lt;E340,IF(OR(J340="Oui",'00_Parametres'!$B$28="Oui"),H340,E340),H340))</f>
      </c>
      <c r="M340" s="12">
        <f>IF(OR(A340="",I340=""),"",IF(I340&gt;F340,IF(OR(K340="Oui",'00_Parametres'!$B$29="Oui"),I340,F340),I340))</f>
      </c>
      <c r="N340" s="25">
        <f>IF(OR(A340="",H340="",E340=""),0,MAX(0,ROUND((H340-E340)*1440,0)))</f>
      </c>
      <c r="O340" s="25">
        <f>IF(OR(A340="",I340="",F340=""),0,MAX(0,ROUND((F340-I340)*1440,0)))</f>
      </c>
      <c r="P340" s="12">
        <f>IF(OR(L340="",M340=""),0,MAX(0,ROUND((M340-L340)*24-G340,2)))</f>
      </c>
      <c r="Q340" s="12">
        <f>IF(P340=0,0,MIN(P340,'00_Parametres'!$B$23))</f>
      </c>
      <c r="R340" s="12">
        <f>IF(P340=0,0,MAX(0,P340-'00_Parametres'!$B$23))</f>
      </c>
      <c r="S340" s="10"/>
      <c r="T340" s="10"/>
      <c r="U340" s="10"/>
    </row>
    <row r="341" spans="1:21" x14ac:dyDescent="0.25">
      <c r="A341" s="18"/>
      <c r="B341" s="18"/>
      <c r="C341" s="9">
        <f>IF(B341="","",IFERROR(VLOOKUP(B341,'01_Employes'!$A$6:$Q$30,4,FALSE),"⚠ ID inconnu"))</f>
      </c>
      <c r="D341" s="9">
        <f>IF(A341="","",TEXT(A341,"dddd"))</f>
      </c>
      <c r="E341" s="24">
        <f>IF(A341="","",IFERROR(INDEX('00_Parametres'!$C$7:$C$13,WEEKDAY(A341,2)),""))</f>
      </c>
      <c r="F341" s="24">
        <f>IF(A341="","",IFERROR(INDEX('00_Parametres'!$D$7:$D$13,WEEKDAY(A341,2)),""))</f>
      </c>
      <c r="G341" s="24">
        <f>IF(A341="","",IFERROR(INDEX('00_Parametres'!$E$7:$E$13,WEEKDAY(A341,2)),0))</f>
      </c>
      <c r="H341" s="11"/>
      <c r="I341" s="11"/>
      <c r="J341" s="11"/>
      <c r="K341" s="11"/>
      <c r="L341" s="12">
        <f>IF(OR(A341="",H341=""),"",IF(H341&lt;E341,IF(OR(J341="Oui",'00_Parametres'!$B$28="Oui"),H341,E341),H341))</f>
      </c>
      <c r="M341" s="12">
        <f>IF(OR(A341="",I341=""),"",IF(I341&gt;F341,IF(OR(K341="Oui",'00_Parametres'!$B$29="Oui"),I341,F341),I341))</f>
      </c>
      <c r="N341" s="25">
        <f>IF(OR(A341="",H341="",E341=""),0,MAX(0,ROUND((H341-E341)*1440,0)))</f>
      </c>
      <c r="O341" s="25">
        <f>IF(OR(A341="",I341="",F341=""),0,MAX(0,ROUND((F341-I341)*1440,0)))</f>
      </c>
      <c r="P341" s="12">
        <f>IF(OR(L341="",M341=""),0,MAX(0,ROUND((M341-L341)*24-G341,2)))</f>
      </c>
      <c r="Q341" s="12">
        <f>IF(P341=0,0,MIN(P341,'00_Parametres'!$B$23))</f>
      </c>
      <c r="R341" s="12">
        <f>IF(P341=0,0,MAX(0,P341-'00_Parametres'!$B$23))</f>
      </c>
      <c r="S341" s="10"/>
      <c r="T341" s="10"/>
      <c r="U341" s="10"/>
    </row>
    <row r="342" spans="1:21" x14ac:dyDescent="0.25">
      <c r="A342" s="18"/>
      <c r="B342" s="18"/>
      <c r="C342" s="9">
        <f>IF(B342="","",IFERROR(VLOOKUP(B342,'01_Employes'!$A$6:$Q$30,4,FALSE),"⚠ ID inconnu"))</f>
      </c>
      <c r="D342" s="9">
        <f>IF(A342="","",TEXT(A342,"dddd"))</f>
      </c>
      <c r="E342" s="24">
        <f>IF(A342="","",IFERROR(INDEX('00_Parametres'!$C$7:$C$13,WEEKDAY(A342,2)),""))</f>
      </c>
      <c r="F342" s="24">
        <f>IF(A342="","",IFERROR(INDEX('00_Parametres'!$D$7:$D$13,WEEKDAY(A342,2)),""))</f>
      </c>
      <c r="G342" s="24">
        <f>IF(A342="","",IFERROR(INDEX('00_Parametres'!$E$7:$E$13,WEEKDAY(A342,2)),0))</f>
      </c>
      <c r="H342" s="11"/>
      <c r="I342" s="11"/>
      <c r="J342" s="11"/>
      <c r="K342" s="11"/>
      <c r="L342" s="12">
        <f>IF(OR(A342="",H342=""),"",IF(H342&lt;E342,IF(OR(J342="Oui",'00_Parametres'!$B$28="Oui"),H342,E342),H342))</f>
      </c>
      <c r="M342" s="12">
        <f>IF(OR(A342="",I342=""),"",IF(I342&gt;F342,IF(OR(K342="Oui",'00_Parametres'!$B$29="Oui"),I342,F342),I342))</f>
      </c>
      <c r="N342" s="25">
        <f>IF(OR(A342="",H342="",E342=""),0,MAX(0,ROUND((H342-E342)*1440,0)))</f>
      </c>
      <c r="O342" s="25">
        <f>IF(OR(A342="",I342="",F342=""),0,MAX(0,ROUND((F342-I342)*1440,0)))</f>
      </c>
      <c r="P342" s="12">
        <f>IF(OR(L342="",M342=""),0,MAX(0,ROUND((M342-L342)*24-G342,2)))</f>
      </c>
      <c r="Q342" s="12">
        <f>IF(P342=0,0,MIN(P342,'00_Parametres'!$B$23))</f>
      </c>
      <c r="R342" s="12">
        <f>IF(P342=0,0,MAX(0,P342-'00_Parametres'!$B$23))</f>
      </c>
      <c r="S342" s="10"/>
      <c r="T342" s="10"/>
      <c r="U342" s="10"/>
    </row>
    <row r="343" spans="1:21" x14ac:dyDescent="0.25">
      <c r="A343" s="18"/>
      <c r="B343" s="18"/>
      <c r="C343" s="9">
        <f>IF(B343="","",IFERROR(VLOOKUP(B343,'01_Employes'!$A$6:$Q$30,4,FALSE),"⚠ ID inconnu"))</f>
      </c>
      <c r="D343" s="9">
        <f>IF(A343="","",TEXT(A343,"dddd"))</f>
      </c>
      <c r="E343" s="24">
        <f>IF(A343="","",IFERROR(INDEX('00_Parametres'!$C$7:$C$13,WEEKDAY(A343,2)),""))</f>
      </c>
      <c r="F343" s="24">
        <f>IF(A343="","",IFERROR(INDEX('00_Parametres'!$D$7:$D$13,WEEKDAY(A343,2)),""))</f>
      </c>
      <c r="G343" s="24">
        <f>IF(A343="","",IFERROR(INDEX('00_Parametres'!$E$7:$E$13,WEEKDAY(A343,2)),0))</f>
      </c>
      <c r="H343" s="11"/>
      <c r="I343" s="11"/>
      <c r="J343" s="11"/>
      <c r="K343" s="11"/>
      <c r="L343" s="12">
        <f>IF(OR(A343="",H343=""),"",IF(H343&lt;E343,IF(OR(J343="Oui",'00_Parametres'!$B$28="Oui"),H343,E343),H343))</f>
      </c>
      <c r="M343" s="12">
        <f>IF(OR(A343="",I343=""),"",IF(I343&gt;F343,IF(OR(K343="Oui",'00_Parametres'!$B$29="Oui"),I343,F343),I343))</f>
      </c>
      <c r="N343" s="25">
        <f>IF(OR(A343="",H343="",E343=""),0,MAX(0,ROUND((H343-E343)*1440,0)))</f>
      </c>
      <c r="O343" s="25">
        <f>IF(OR(A343="",I343="",F343=""),0,MAX(0,ROUND((F343-I343)*1440,0)))</f>
      </c>
      <c r="P343" s="12">
        <f>IF(OR(L343="",M343=""),0,MAX(0,ROUND((M343-L343)*24-G343,2)))</f>
      </c>
      <c r="Q343" s="12">
        <f>IF(P343=0,0,MIN(P343,'00_Parametres'!$B$23))</f>
      </c>
      <c r="R343" s="12">
        <f>IF(P343=0,0,MAX(0,P343-'00_Parametres'!$B$23))</f>
      </c>
      <c r="S343" s="10"/>
      <c r="T343" s="10"/>
      <c r="U343" s="10"/>
    </row>
    <row r="344" spans="1:21" x14ac:dyDescent="0.25">
      <c r="A344" s="18"/>
      <c r="B344" s="18"/>
      <c r="C344" s="9">
        <f>IF(B344="","",IFERROR(VLOOKUP(B344,'01_Employes'!$A$6:$Q$30,4,FALSE),"⚠ ID inconnu"))</f>
      </c>
      <c r="D344" s="9">
        <f>IF(A344="","",TEXT(A344,"dddd"))</f>
      </c>
      <c r="E344" s="24">
        <f>IF(A344="","",IFERROR(INDEX('00_Parametres'!$C$7:$C$13,WEEKDAY(A344,2)),""))</f>
      </c>
      <c r="F344" s="24">
        <f>IF(A344="","",IFERROR(INDEX('00_Parametres'!$D$7:$D$13,WEEKDAY(A344,2)),""))</f>
      </c>
      <c r="G344" s="24">
        <f>IF(A344="","",IFERROR(INDEX('00_Parametres'!$E$7:$E$13,WEEKDAY(A344,2)),0))</f>
      </c>
      <c r="H344" s="11"/>
      <c r="I344" s="11"/>
      <c r="J344" s="11"/>
      <c r="K344" s="11"/>
      <c r="L344" s="12">
        <f>IF(OR(A344="",H344=""),"",IF(H344&lt;E344,IF(OR(J344="Oui",'00_Parametres'!$B$28="Oui"),H344,E344),H344))</f>
      </c>
      <c r="M344" s="12">
        <f>IF(OR(A344="",I344=""),"",IF(I344&gt;F344,IF(OR(K344="Oui",'00_Parametres'!$B$29="Oui"),I344,F344),I344))</f>
      </c>
      <c r="N344" s="25">
        <f>IF(OR(A344="",H344="",E344=""),0,MAX(0,ROUND((H344-E344)*1440,0)))</f>
      </c>
      <c r="O344" s="25">
        <f>IF(OR(A344="",I344="",F344=""),0,MAX(0,ROUND((F344-I344)*1440,0)))</f>
      </c>
      <c r="P344" s="12">
        <f>IF(OR(L344="",M344=""),0,MAX(0,ROUND((M344-L344)*24-G344,2)))</f>
      </c>
      <c r="Q344" s="12">
        <f>IF(P344=0,0,MIN(P344,'00_Parametres'!$B$23))</f>
      </c>
      <c r="R344" s="12">
        <f>IF(P344=0,0,MAX(0,P344-'00_Parametres'!$B$23))</f>
      </c>
      <c r="S344" s="10"/>
      <c r="T344" s="10"/>
      <c r="U344" s="10"/>
    </row>
    <row r="345" spans="1:21" x14ac:dyDescent="0.25">
      <c r="A345" s="18"/>
      <c r="B345" s="18"/>
      <c r="C345" s="9">
        <f>IF(B345="","",IFERROR(VLOOKUP(B345,'01_Employes'!$A$6:$Q$30,4,FALSE),"⚠ ID inconnu"))</f>
      </c>
      <c r="D345" s="9">
        <f>IF(A345="","",TEXT(A345,"dddd"))</f>
      </c>
      <c r="E345" s="24">
        <f>IF(A345="","",IFERROR(INDEX('00_Parametres'!$C$7:$C$13,WEEKDAY(A345,2)),""))</f>
      </c>
      <c r="F345" s="24">
        <f>IF(A345="","",IFERROR(INDEX('00_Parametres'!$D$7:$D$13,WEEKDAY(A345,2)),""))</f>
      </c>
      <c r="G345" s="24">
        <f>IF(A345="","",IFERROR(INDEX('00_Parametres'!$E$7:$E$13,WEEKDAY(A345,2)),0))</f>
      </c>
      <c r="H345" s="11"/>
      <c r="I345" s="11"/>
      <c r="J345" s="11"/>
      <c r="K345" s="11"/>
      <c r="L345" s="12">
        <f>IF(OR(A345="",H345=""),"",IF(H345&lt;E345,IF(OR(J345="Oui",'00_Parametres'!$B$28="Oui"),H345,E345),H345))</f>
      </c>
      <c r="M345" s="12">
        <f>IF(OR(A345="",I345=""),"",IF(I345&gt;F345,IF(OR(K345="Oui",'00_Parametres'!$B$29="Oui"),I345,F345),I345))</f>
      </c>
      <c r="N345" s="25">
        <f>IF(OR(A345="",H345="",E345=""),0,MAX(0,ROUND((H345-E345)*1440,0)))</f>
      </c>
      <c r="O345" s="25">
        <f>IF(OR(A345="",I345="",F345=""),0,MAX(0,ROUND((F345-I345)*1440,0)))</f>
      </c>
      <c r="P345" s="12">
        <f>IF(OR(L345="",M345=""),0,MAX(0,ROUND((M345-L345)*24-G345,2)))</f>
      </c>
      <c r="Q345" s="12">
        <f>IF(P345=0,0,MIN(P345,'00_Parametres'!$B$23))</f>
      </c>
      <c r="R345" s="12">
        <f>IF(P345=0,0,MAX(0,P345-'00_Parametres'!$B$23))</f>
      </c>
      <c r="S345" s="10"/>
      <c r="T345" s="10"/>
      <c r="U345" s="10"/>
    </row>
    <row r="346" spans="1:21" x14ac:dyDescent="0.25">
      <c r="A346" s="18"/>
      <c r="B346" s="18"/>
      <c r="C346" s="9">
        <f>IF(B346="","",IFERROR(VLOOKUP(B346,'01_Employes'!$A$6:$Q$30,4,FALSE),"⚠ ID inconnu"))</f>
      </c>
      <c r="D346" s="9">
        <f>IF(A346="","",TEXT(A346,"dddd"))</f>
      </c>
      <c r="E346" s="24">
        <f>IF(A346="","",IFERROR(INDEX('00_Parametres'!$C$7:$C$13,WEEKDAY(A346,2)),""))</f>
      </c>
      <c r="F346" s="24">
        <f>IF(A346="","",IFERROR(INDEX('00_Parametres'!$D$7:$D$13,WEEKDAY(A346,2)),""))</f>
      </c>
      <c r="G346" s="24">
        <f>IF(A346="","",IFERROR(INDEX('00_Parametres'!$E$7:$E$13,WEEKDAY(A346,2)),0))</f>
      </c>
      <c r="H346" s="11"/>
      <c r="I346" s="11"/>
      <c r="J346" s="11"/>
      <c r="K346" s="11"/>
      <c r="L346" s="12">
        <f>IF(OR(A346="",H346=""),"",IF(H346&lt;E346,IF(OR(J346="Oui",'00_Parametres'!$B$28="Oui"),H346,E346),H346))</f>
      </c>
      <c r="M346" s="12">
        <f>IF(OR(A346="",I346=""),"",IF(I346&gt;F346,IF(OR(K346="Oui",'00_Parametres'!$B$29="Oui"),I346,F346),I346))</f>
      </c>
      <c r="N346" s="25">
        <f>IF(OR(A346="",H346="",E346=""),0,MAX(0,ROUND((H346-E346)*1440,0)))</f>
      </c>
      <c r="O346" s="25">
        <f>IF(OR(A346="",I346="",F346=""),0,MAX(0,ROUND((F346-I346)*1440,0)))</f>
      </c>
      <c r="P346" s="12">
        <f>IF(OR(L346="",M346=""),0,MAX(0,ROUND((M346-L346)*24-G346,2)))</f>
      </c>
      <c r="Q346" s="12">
        <f>IF(P346=0,0,MIN(P346,'00_Parametres'!$B$23))</f>
      </c>
      <c r="R346" s="12">
        <f>IF(P346=0,0,MAX(0,P346-'00_Parametres'!$B$23))</f>
      </c>
      <c r="S346" s="10"/>
      <c r="T346" s="10"/>
      <c r="U346" s="10"/>
    </row>
    <row r="347" spans="1:21" x14ac:dyDescent="0.25">
      <c r="A347" s="18"/>
      <c r="B347" s="18"/>
      <c r="C347" s="9">
        <f>IF(B347="","",IFERROR(VLOOKUP(B347,'01_Employes'!$A$6:$Q$30,4,FALSE),"⚠ ID inconnu"))</f>
      </c>
      <c r="D347" s="9">
        <f>IF(A347="","",TEXT(A347,"dddd"))</f>
      </c>
      <c r="E347" s="24">
        <f>IF(A347="","",IFERROR(INDEX('00_Parametres'!$C$7:$C$13,WEEKDAY(A347,2)),""))</f>
      </c>
      <c r="F347" s="24">
        <f>IF(A347="","",IFERROR(INDEX('00_Parametres'!$D$7:$D$13,WEEKDAY(A347,2)),""))</f>
      </c>
      <c r="G347" s="24">
        <f>IF(A347="","",IFERROR(INDEX('00_Parametres'!$E$7:$E$13,WEEKDAY(A347,2)),0))</f>
      </c>
      <c r="H347" s="11"/>
      <c r="I347" s="11"/>
      <c r="J347" s="11"/>
      <c r="K347" s="11"/>
      <c r="L347" s="12">
        <f>IF(OR(A347="",H347=""),"",IF(H347&lt;E347,IF(OR(J347="Oui",'00_Parametres'!$B$28="Oui"),H347,E347),H347))</f>
      </c>
      <c r="M347" s="12">
        <f>IF(OR(A347="",I347=""),"",IF(I347&gt;F347,IF(OR(K347="Oui",'00_Parametres'!$B$29="Oui"),I347,F347),I347))</f>
      </c>
      <c r="N347" s="25">
        <f>IF(OR(A347="",H347="",E347=""),0,MAX(0,ROUND((H347-E347)*1440,0)))</f>
      </c>
      <c r="O347" s="25">
        <f>IF(OR(A347="",I347="",F347=""),0,MAX(0,ROUND((F347-I347)*1440,0)))</f>
      </c>
      <c r="P347" s="12">
        <f>IF(OR(L347="",M347=""),0,MAX(0,ROUND((M347-L347)*24-G347,2)))</f>
      </c>
      <c r="Q347" s="12">
        <f>IF(P347=0,0,MIN(P347,'00_Parametres'!$B$23))</f>
      </c>
      <c r="R347" s="12">
        <f>IF(P347=0,0,MAX(0,P347-'00_Parametres'!$B$23))</f>
      </c>
      <c r="S347" s="10"/>
      <c r="T347" s="10"/>
      <c r="U347" s="10"/>
    </row>
    <row r="348" spans="1:21" x14ac:dyDescent="0.25">
      <c r="A348" s="18"/>
      <c r="B348" s="18"/>
      <c r="C348" s="9">
        <f>IF(B348="","",IFERROR(VLOOKUP(B348,'01_Employes'!$A$6:$Q$30,4,FALSE),"⚠ ID inconnu"))</f>
      </c>
      <c r="D348" s="9">
        <f>IF(A348="","",TEXT(A348,"dddd"))</f>
      </c>
      <c r="E348" s="24">
        <f>IF(A348="","",IFERROR(INDEX('00_Parametres'!$C$7:$C$13,WEEKDAY(A348,2)),""))</f>
      </c>
      <c r="F348" s="24">
        <f>IF(A348="","",IFERROR(INDEX('00_Parametres'!$D$7:$D$13,WEEKDAY(A348,2)),""))</f>
      </c>
      <c r="G348" s="24">
        <f>IF(A348="","",IFERROR(INDEX('00_Parametres'!$E$7:$E$13,WEEKDAY(A348,2)),0))</f>
      </c>
      <c r="H348" s="11"/>
      <c r="I348" s="11"/>
      <c r="J348" s="11"/>
      <c r="K348" s="11"/>
      <c r="L348" s="12">
        <f>IF(OR(A348="",H348=""),"",IF(H348&lt;E348,IF(OR(J348="Oui",'00_Parametres'!$B$28="Oui"),H348,E348),H348))</f>
      </c>
      <c r="M348" s="12">
        <f>IF(OR(A348="",I348=""),"",IF(I348&gt;F348,IF(OR(K348="Oui",'00_Parametres'!$B$29="Oui"),I348,F348),I348))</f>
      </c>
      <c r="N348" s="25">
        <f>IF(OR(A348="",H348="",E348=""),0,MAX(0,ROUND((H348-E348)*1440,0)))</f>
      </c>
      <c r="O348" s="25">
        <f>IF(OR(A348="",I348="",F348=""),0,MAX(0,ROUND((F348-I348)*1440,0)))</f>
      </c>
      <c r="P348" s="12">
        <f>IF(OR(L348="",M348=""),0,MAX(0,ROUND((M348-L348)*24-G348,2)))</f>
      </c>
      <c r="Q348" s="12">
        <f>IF(P348=0,0,MIN(P348,'00_Parametres'!$B$23))</f>
      </c>
      <c r="R348" s="12">
        <f>IF(P348=0,0,MAX(0,P348-'00_Parametres'!$B$23))</f>
      </c>
      <c r="S348" s="10"/>
      <c r="T348" s="10"/>
      <c r="U348" s="10"/>
    </row>
    <row r="349" spans="1:21" x14ac:dyDescent="0.25">
      <c r="A349" s="18"/>
      <c r="B349" s="18"/>
      <c r="C349" s="9">
        <f>IF(B349="","",IFERROR(VLOOKUP(B349,'01_Employes'!$A$6:$Q$30,4,FALSE),"⚠ ID inconnu"))</f>
      </c>
      <c r="D349" s="9">
        <f>IF(A349="","",TEXT(A349,"dddd"))</f>
      </c>
      <c r="E349" s="24">
        <f>IF(A349="","",IFERROR(INDEX('00_Parametres'!$C$7:$C$13,WEEKDAY(A349,2)),""))</f>
      </c>
      <c r="F349" s="24">
        <f>IF(A349="","",IFERROR(INDEX('00_Parametres'!$D$7:$D$13,WEEKDAY(A349,2)),""))</f>
      </c>
      <c r="G349" s="24">
        <f>IF(A349="","",IFERROR(INDEX('00_Parametres'!$E$7:$E$13,WEEKDAY(A349,2)),0))</f>
      </c>
      <c r="H349" s="11"/>
      <c r="I349" s="11"/>
      <c r="J349" s="11"/>
      <c r="K349" s="11"/>
      <c r="L349" s="12">
        <f>IF(OR(A349="",H349=""),"",IF(H349&lt;E349,IF(OR(J349="Oui",'00_Parametres'!$B$28="Oui"),H349,E349),H349))</f>
      </c>
      <c r="M349" s="12">
        <f>IF(OR(A349="",I349=""),"",IF(I349&gt;F349,IF(OR(K349="Oui",'00_Parametres'!$B$29="Oui"),I349,F349),I349))</f>
      </c>
      <c r="N349" s="25">
        <f>IF(OR(A349="",H349="",E349=""),0,MAX(0,ROUND((H349-E349)*1440,0)))</f>
      </c>
      <c r="O349" s="25">
        <f>IF(OR(A349="",I349="",F349=""),0,MAX(0,ROUND((F349-I349)*1440,0)))</f>
      </c>
      <c r="P349" s="12">
        <f>IF(OR(L349="",M349=""),0,MAX(0,ROUND((M349-L349)*24-G349,2)))</f>
      </c>
      <c r="Q349" s="12">
        <f>IF(P349=0,0,MIN(P349,'00_Parametres'!$B$23))</f>
      </c>
      <c r="R349" s="12">
        <f>IF(P349=0,0,MAX(0,P349-'00_Parametres'!$B$23))</f>
      </c>
      <c r="S349" s="10"/>
      <c r="T349" s="10"/>
      <c r="U349" s="10"/>
    </row>
    <row r="350" spans="1:21" x14ac:dyDescent="0.25">
      <c r="A350" s="18"/>
      <c r="B350" s="18"/>
      <c r="C350" s="9">
        <f>IF(B350="","",IFERROR(VLOOKUP(B350,'01_Employes'!$A$6:$Q$30,4,FALSE),"⚠ ID inconnu"))</f>
      </c>
      <c r="D350" s="9">
        <f>IF(A350="","",TEXT(A350,"dddd"))</f>
      </c>
      <c r="E350" s="24">
        <f>IF(A350="","",IFERROR(INDEX('00_Parametres'!$C$7:$C$13,WEEKDAY(A350,2)),""))</f>
      </c>
      <c r="F350" s="24">
        <f>IF(A350="","",IFERROR(INDEX('00_Parametres'!$D$7:$D$13,WEEKDAY(A350,2)),""))</f>
      </c>
      <c r="G350" s="24">
        <f>IF(A350="","",IFERROR(INDEX('00_Parametres'!$E$7:$E$13,WEEKDAY(A350,2)),0))</f>
      </c>
      <c r="H350" s="11"/>
      <c r="I350" s="11"/>
      <c r="J350" s="11"/>
      <c r="K350" s="11"/>
      <c r="L350" s="12">
        <f>IF(OR(A350="",H350=""),"",IF(H350&lt;E350,IF(OR(J350="Oui",'00_Parametres'!$B$28="Oui"),H350,E350),H350))</f>
      </c>
      <c r="M350" s="12">
        <f>IF(OR(A350="",I350=""),"",IF(I350&gt;F350,IF(OR(K350="Oui",'00_Parametres'!$B$29="Oui"),I350,F350),I350))</f>
      </c>
      <c r="N350" s="25">
        <f>IF(OR(A350="",H350="",E350=""),0,MAX(0,ROUND((H350-E350)*1440,0)))</f>
      </c>
      <c r="O350" s="25">
        <f>IF(OR(A350="",I350="",F350=""),0,MAX(0,ROUND((F350-I350)*1440,0)))</f>
      </c>
      <c r="P350" s="12">
        <f>IF(OR(L350="",M350=""),0,MAX(0,ROUND((M350-L350)*24-G350,2)))</f>
      </c>
      <c r="Q350" s="12">
        <f>IF(P350=0,0,MIN(P350,'00_Parametres'!$B$23))</f>
      </c>
      <c r="R350" s="12">
        <f>IF(P350=0,0,MAX(0,P350-'00_Parametres'!$B$23))</f>
      </c>
      <c r="S350" s="10"/>
      <c r="T350" s="10"/>
      <c r="U350" s="10"/>
    </row>
    <row r="351" spans="1:21" x14ac:dyDescent="0.25">
      <c r="A351" s="18"/>
      <c r="B351" s="18"/>
      <c r="C351" s="9">
        <f>IF(B351="","",IFERROR(VLOOKUP(B351,'01_Employes'!$A$6:$Q$30,4,FALSE),"⚠ ID inconnu"))</f>
      </c>
      <c r="D351" s="9">
        <f>IF(A351="","",TEXT(A351,"dddd"))</f>
      </c>
      <c r="E351" s="24">
        <f>IF(A351="","",IFERROR(INDEX('00_Parametres'!$C$7:$C$13,WEEKDAY(A351,2)),""))</f>
      </c>
      <c r="F351" s="24">
        <f>IF(A351="","",IFERROR(INDEX('00_Parametres'!$D$7:$D$13,WEEKDAY(A351,2)),""))</f>
      </c>
      <c r="G351" s="24">
        <f>IF(A351="","",IFERROR(INDEX('00_Parametres'!$E$7:$E$13,WEEKDAY(A351,2)),0))</f>
      </c>
      <c r="H351" s="11"/>
      <c r="I351" s="11"/>
      <c r="J351" s="11"/>
      <c r="K351" s="11"/>
      <c r="L351" s="12">
        <f>IF(OR(A351="",H351=""),"",IF(H351&lt;E351,IF(OR(J351="Oui",'00_Parametres'!$B$28="Oui"),H351,E351),H351))</f>
      </c>
      <c r="M351" s="12">
        <f>IF(OR(A351="",I351=""),"",IF(I351&gt;F351,IF(OR(K351="Oui",'00_Parametres'!$B$29="Oui"),I351,F351),I351))</f>
      </c>
      <c r="N351" s="25">
        <f>IF(OR(A351="",H351="",E351=""),0,MAX(0,ROUND((H351-E351)*1440,0)))</f>
      </c>
      <c r="O351" s="25">
        <f>IF(OR(A351="",I351="",F351=""),0,MAX(0,ROUND((F351-I351)*1440,0)))</f>
      </c>
      <c r="P351" s="12">
        <f>IF(OR(L351="",M351=""),0,MAX(0,ROUND((M351-L351)*24-G351,2)))</f>
      </c>
      <c r="Q351" s="12">
        <f>IF(P351=0,0,MIN(P351,'00_Parametres'!$B$23))</f>
      </c>
      <c r="R351" s="12">
        <f>IF(P351=0,0,MAX(0,P351-'00_Parametres'!$B$23))</f>
      </c>
      <c r="S351" s="10"/>
      <c r="T351" s="10"/>
      <c r="U351" s="10"/>
    </row>
    <row r="352" spans="1:21" x14ac:dyDescent="0.25">
      <c r="A352" s="18"/>
      <c r="B352" s="18"/>
      <c r="C352" s="9">
        <f>IF(B352="","",IFERROR(VLOOKUP(B352,'01_Employes'!$A$6:$Q$30,4,FALSE),"⚠ ID inconnu"))</f>
      </c>
      <c r="D352" s="9">
        <f>IF(A352="","",TEXT(A352,"dddd"))</f>
      </c>
      <c r="E352" s="24">
        <f>IF(A352="","",IFERROR(INDEX('00_Parametres'!$C$7:$C$13,WEEKDAY(A352,2)),""))</f>
      </c>
      <c r="F352" s="24">
        <f>IF(A352="","",IFERROR(INDEX('00_Parametres'!$D$7:$D$13,WEEKDAY(A352,2)),""))</f>
      </c>
      <c r="G352" s="24">
        <f>IF(A352="","",IFERROR(INDEX('00_Parametres'!$E$7:$E$13,WEEKDAY(A352,2)),0))</f>
      </c>
      <c r="H352" s="11"/>
      <c r="I352" s="11"/>
      <c r="J352" s="11"/>
      <c r="K352" s="11"/>
      <c r="L352" s="12">
        <f>IF(OR(A352="",H352=""),"",IF(H352&lt;E352,IF(OR(J352="Oui",'00_Parametres'!$B$28="Oui"),H352,E352),H352))</f>
      </c>
      <c r="M352" s="12">
        <f>IF(OR(A352="",I352=""),"",IF(I352&gt;F352,IF(OR(K352="Oui",'00_Parametres'!$B$29="Oui"),I352,F352),I352))</f>
      </c>
      <c r="N352" s="25">
        <f>IF(OR(A352="",H352="",E352=""),0,MAX(0,ROUND((H352-E352)*1440,0)))</f>
      </c>
      <c r="O352" s="25">
        <f>IF(OR(A352="",I352="",F352=""),0,MAX(0,ROUND((F352-I352)*1440,0)))</f>
      </c>
      <c r="P352" s="12">
        <f>IF(OR(L352="",M352=""),0,MAX(0,ROUND((M352-L352)*24-G352,2)))</f>
      </c>
      <c r="Q352" s="12">
        <f>IF(P352=0,0,MIN(P352,'00_Parametres'!$B$23))</f>
      </c>
      <c r="R352" s="12">
        <f>IF(P352=0,0,MAX(0,P352-'00_Parametres'!$B$23))</f>
      </c>
      <c r="S352" s="10"/>
      <c r="T352" s="10"/>
      <c r="U352" s="10"/>
    </row>
    <row r="353" spans="1:21" x14ac:dyDescent="0.25">
      <c r="A353" s="18"/>
      <c r="B353" s="18"/>
      <c r="C353" s="9">
        <f>IF(B353="","",IFERROR(VLOOKUP(B353,'01_Employes'!$A$6:$Q$30,4,FALSE),"⚠ ID inconnu"))</f>
      </c>
      <c r="D353" s="9">
        <f>IF(A353="","",TEXT(A353,"dddd"))</f>
      </c>
      <c r="E353" s="24">
        <f>IF(A353="","",IFERROR(INDEX('00_Parametres'!$C$7:$C$13,WEEKDAY(A353,2)),""))</f>
      </c>
      <c r="F353" s="24">
        <f>IF(A353="","",IFERROR(INDEX('00_Parametres'!$D$7:$D$13,WEEKDAY(A353,2)),""))</f>
      </c>
      <c r="G353" s="24">
        <f>IF(A353="","",IFERROR(INDEX('00_Parametres'!$E$7:$E$13,WEEKDAY(A353,2)),0))</f>
      </c>
      <c r="H353" s="11"/>
      <c r="I353" s="11"/>
      <c r="J353" s="11"/>
      <c r="K353" s="11"/>
      <c r="L353" s="12">
        <f>IF(OR(A353="",H353=""),"",IF(H353&lt;E353,IF(OR(J353="Oui",'00_Parametres'!$B$28="Oui"),H353,E353),H353))</f>
      </c>
      <c r="M353" s="12">
        <f>IF(OR(A353="",I353=""),"",IF(I353&gt;F353,IF(OR(K353="Oui",'00_Parametres'!$B$29="Oui"),I353,F353),I353))</f>
      </c>
      <c r="N353" s="25">
        <f>IF(OR(A353="",H353="",E353=""),0,MAX(0,ROUND((H353-E353)*1440,0)))</f>
      </c>
      <c r="O353" s="25">
        <f>IF(OR(A353="",I353="",F353=""),0,MAX(0,ROUND((F353-I353)*1440,0)))</f>
      </c>
      <c r="P353" s="12">
        <f>IF(OR(L353="",M353=""),0,MAX(0,ROUND((M353-L353)*24-G353,2)))</f>
      </c>
      <c r="Q353" s="12">
        <f>IF(P353=0,0,MIN(P353,'00_Parametres'!$B$23))</f>
      </c>
      <c r="R353" s="12">
        <f>IF(P353=0,0,MAX(0,P353-'00_Parametres'!$B$23))</f>
      </c>
      <c r="S353" s="10"/>
      <c r="T353" s="10"/>
      <c r="U353" s="10"/>
    </row>
    <row r="354" spans="1:21" x14ac:dyDescent="0.25">
      <c r="A354" s="18"/>
      <c r="B354" s="18"/>
      <c r="C354" s="9">
        <f>IF(B354="","",IFERROR(VLOOKUP(B354,'01_Employes'!$A$6:$Q$30,4,FALSE),"⚠ ID inconnu"))</f>
      </c>
      <c r="D354" s="9">
        <f>IF(A354="","",TEXT(A354,"dddd"))</f>
      </c>
      <c r="E354" s="24">
        <f>IF(A354="","",IFERROR(INDEX('00_Parametres'!$C$7:$C$13,WEEKDAY(A354,2)),""))</f>
      </c>
      <c r="F354" s="24">
        <f>IF(A354="","",IFERROR(INDEX('00_Parametres'!$D$7:$D$13,WEEKDAY(A354,2)),""))</f>
      </c>
      <c r="G354" s="24">
        <f>IF(A354="","",IFERROR(INDEX('00_Parametres'!$E$7:$E$13,WEEKDAY(A354,2)),0))</f>
      </c>
      <c r="H354" s="11"/>
      <c r="I354" s="11"/>
      <c r="J354" s="11"/>
      <c r="K354" s="11"/>
      <c r="L354" s="12">
        <f>IF(OR(A354="",H354=""),"",IF(H354&lt;E354,IF(OR(J354="Oui",'00_Parametres'!$B$28="Oui"),H354,E354),H354))</f>
      </c>
      <c r="M354" s="12">
        <f>IF(OR(A354="",I354=""),"",IF(I354&gt;F354,IF(OR(K354="Oui",'00_Parametres'!$B$29="Oui"),I354,F354),I354))</f>
      </c>
      <c r="N354" s="25">
        <f>IF(OR(A354="",H354="",E354=""),0,MAX(0,ROUND((H354-E354)*1440,0)))</f>
      </c>
      <c r="O354" s="25">
        <f>IF(OR(A354="",I354="",F354=""),0,MAX(0,ROUND((F354-I354)*1440,0)))</f>
      </c>
      <c r="P354" s="12">
        <f>IF(OR(L354="",M354=""),0,MAX(0,ROUND((M354-L354)*24-G354,2)))</f>
      </c>
      <c r="Q354" s="12">
        <f>IF(P354=0,0,MIN(P354,'00_Parametres'!$B$23))</f>
      </c>
      <c r="R354" s="12">
        <f>IF(P354=0,0,MAX(0,P354-'00_Parametres'!$B$23))</f>
      </c>
      <c r="S354" s="10"/>
      <c r="T354" s="10"/>
      <c r="U354" s="10"/>
    </row>
    <row r="355" spans="1:21" x14ac:dyDescent="0.25">
      <c r="A355" s="18"/>
      <c r="B355" s="18"/>
      <c r="C355" s="9">
        <f>IF(B355="","",IFERROR(VLOOKUP(B355,'01_Employes'!$A$6:$Q$30,4,FALSE),"⚠ ID inconnu"))</f>
      </c>
      <c r="D355" s="9">
        <f>IF(A355="","",TEXT(A355,"dddd"))</f>
      </c>
      <c r="E355" s="24">
        <f>IF(A355="","",IFERROR(INDEX('00_Parametres'!$C$7:$C$13,WEEKDAY(A355,2)),""))</f>
      </c>
      <c r="F355" s="24">
        <f>IF(A355="","",IFERROR(INDEX('00_Parametres'!$D$7:$D$13,WEEKDAY(A355,2)),""))</f>
      </c>
      <c r="G355" s="24">
        <f>IF(A355="","",IFERROR(INDEX('00_Parametres'!$E$7:$E$13,WEEKDAY(A355,2)),0))</f>
      </c>
      <c r="H355" s="11"/>
      <c r="I355" s="11"/>
      <c r="J355" s="11"/>
      <c r="K355" s="11"/>
      <c r="L355" s="12">
        <f>IF(OR(A355="",H355=""),"",IF(H355&lt;E355,IF(OR(J355="Oui",'00_Parametres'!$B$28="Oui"),H355,E355),H355))</f>
      </c>
      <c r="M355" s="12">
        <f>IF(OR(A355="",I355=""),"",IF(I355&gt;F355,IF(OR(K355="Oui",'00_Parametres'!$B$29="Oui"),I355,F355),I355))</f>
      </c>
      <c r="N355" s="25">
        <f>IF(OR(A355="",H355="",E355=""),0,MAX(0,ROUND((H355-E355)*1440,0)))</f>
      </c>
      <c r="O355" s="25">
        <f>IF(OR(A355="",I355="",F355=""),0,MAX(0,ROUND((F355-I355)*1440,0)))</f>
      </c>
      <c r="P355" s="12">
        <f>IF(OR(L355="",M355=""),0,MAX(0,ROUND((M355-L355)*24-G355,2)))</f>
      </c>
      <c r="Q355" s="12">
        <f>IF(P355=0,0,MIN(P355,'00_Parametres'!$B$23))</f>
      </c>
      <c r="R355" s="12">
        <f>IF(P355=0,0,MAX(0,P355-'00_Parametres'!$B$23))</f>
      </c>
      <c r="S355" s="10"/>
      <c r="T355" s="10"/>
      <c r="U355" s="10"/>
    </row>
    <row r="356" spans="1:21" x14ac:dyDescent="0.25">
      <c r="A356" s="18"/>
      <c r="B356" s="18"/>
      <c r="C356" s="9">
        <f>IF(B356="","",IFERROR(VLOOKUP(B356,'01_Employes'!$A$6:$Q$30,4,FALSE),"⚠ ID inconnu"))</f>
      </c>
      <c r="D356" s="9">
        <f>IF(A356="","",TEXT(A356,"dddd"))</f>
      </c>
      <c r="E356" s="24">
        <f>IF(A356="","",IFERROR(INDEX('00_Parametres'!$C$7:$C$13,WEEKDAY(A356,2)),""))</f>
      </c>
      <c r="F356" s="24">
        <f>IF(A356="","",IFERROR(INDEX('00_Parametres'!$D$7:$D$13,WEEKDAY(A356,2)),""))</f>
      </c>
      <c r="G356" s="24">
        <f>IF(A356="","",IFERROR(INDEX('00_Parametres'!$E$7:$E$13,WEEKDAY(A356,2)),0))</f>
      </c>
      <c r="H356" s="11"/>
      <c r="I356" s="11"/>
      <c r="J356" s="11"/>
      <c r="K356" s="11"/>
      <c r="L356" s="12">
        <f>IF(OR(A356="",H356=""),"",IF(H356&lt;E356,IF(OR(J356="Oui",'00_Parametres'!$B$28="Oui"),H356,E356),H356))</f>
      </c>
      <c r="M356" s="12">
        <f>IF(OR(A356="",I356=""),"",IF(I356&gt;F356,IF(OR(K356="Oui",'00_Parametres'!$B$29="Oui"),I356,F356),I356))</f>
      </c>
      <c r="N356" s="25">
        <f>IF(OR(A356="",H356="",E356=""),0,MAX(0,ROUND((H356-E356)*1440,0)))</f>
      </c>
      <c r="O356" s="25">
        <f>IF(OR(A356="",I356="",F356=""),0,MAX(0,ROUND((F356-I356)*1440,0)))</f>
      </c>
      <c r="P356" s="12">
        <f>IF(OR(L356="",M356=""),0,MAX(0,ROUND((M356-L356)*24-G356,2)))</f>
      </c>
      <c r="Q356" s="12">
        <f>IF(P356=0,0,MIN(P356,'00_Parametres'!$B$23))</f>
      </c>
      <c r="R356" s="12">
        <f>IF(P356=0,0,MAX(0,P356-'00_Parametres'!$B$23))</f>
      </c>
      <c r="S356" s="10"/>
      <c r="T356" s="10"/>
      <c r="U356" s="10"/>
    </row>
    <row r="357" spans="1:21" x14ac:dyDescent="0.25">
      <c r="A357" s="18"/>
      <c r="B357" s="18"/>
      <c r="C357" s="9">
        <f>IF(B357="","",IFERROR(VLOOKUP(B357,'01_Employes'!$A$6:$Q$30,4,FALSE),"⚠ ID inconnu"))</f>
      </c>
      <c r="D357" s="9">
        <f>IF(A357="","",TEXT(A357,"dddd"))</f>
      </c>
      <c r="E357" s="24">
        <f>IF(A357="","",IFERROR(INDEX('00_Parametres'!$C$7:$C$13,WEEKDAY(A357,2)),""))</f>
      </c>
      <c r="F357" s="24">
        <f>IF(A357="","",IFERROR(INDEX('00_Parametres'!$D$7:$D$13,WEEKDAY(A357,2)),""))</f>
      </c>
      <c r="G357" s="24">
        <f>IF(A357="","",IFERROR(INDEX('00_Parametres'!$E$7:$E$13,WEEKDAY(A357,2)),0))</f>
      </c>
      <c r="H357" s="11"/>
      <c r="I357" s="11"/>
      <c r="J357" s="11"/>
      <c r="K357" s="11"/>
      <c r="L357" s="12">
        <f>IF(OR(A357="",H357=""),"",IF(H357&lt;E357,IF(OR(J357="Oui",'00_Parametres'!$B$28="Oui"),H357,E357),H357))</f>
      </c>
      <c r="M357" s="12">
        <f>IF(OR(A357="",I357=""),"",IF(I357&gt;F357,IF(OR(K357="Oui",'00_Parametres'!$B$29="Oui"),I357,F357),I357))</f>
      </c>
      <c r="N357" s="25">
        <f>IF(OR(A357="",H357="",E357=""),0,MAX(0,ROUND((H357-E357)*1440,0)))</f>
      </c>
      <c r="O357" s="25">
        <f>IF(OR(A357="",I357="",F357=""),0,MAX(0,ROUND((F357-I357)*1440,0)))</f>
      </c>
      <c r="P357" s="12">
        <f>IF(OR(L357="",M357=""),0,MAX(0,ROUND((M357-L357)*24-G357,2)))</f>
      </c>
      <c r="Q357" s="12">
        <f>IF(P357=0,0,MIN(P357,'00_Parametres'!$B$23))</f>
      </c>
      <c r="R357" s="12">
        <f>IF(P357=0,0,MAX(0,P357-'00_Parametres'!$B$23))</f>
      </c>
      <c r="S357" s="10"/>
      <c r="T357" s="10"/>
      <c r="U357" s="10"/>
    </row>
    <row r="358" spans="1:21" x14ac:dyDescent="0.25">
      <c r="A358" s="18"/>
      <c r="B358" s="18"/>
      <c r="C358" s="9">
        <f>IF(B358="","",IFERROR(VLOOKUP(B358,'01_Employes'!$A$6:$Q$30,4,FALSE),"⚠ ID inconnu"))</f>
      </c>
      <c r="D358" s="9">
        <f>IF(A358="","",TEXT(A358,"dddd"))</f>
      </c>
      <c r="E358" s="24">
        <f>IF(A358="","",IFERROR(INDEX('00_Parametres'!$C$7:$C$13,WEEKDAY(A358,2)),""))</f>
      </c>
      <c r="F358" s="24">
        <f>IF(A358="","",IFERROR(INDEX('00_Parametres'!$D$7:$D$13,WEEKDAY(A358,2)),""))</f>
      </c>
      <c r="G358" s="24">
        <f>IF(A358="","",IFERROR(INDEX('00_Parametres'!$E$7:$E$13,WEEKDAY(A358,2)),0))</f>
      </c>
      <c r="H358" s="11"/>
      <c r="I358" s="11"/>
      <c r="J358" s="11"/>
      <c r="K358" s="11"/>
      <c r="L358" s="12">
        <f>IF(OR(A358="",H358=""),"",IF(H358&lt;E358,IF(OR(J358="Oui",'00_Parametres'!$B$28="Oui"),H358,E358),H358))</f>
      </c>
      <c r="M358" s="12">
        <f>IF(OR(A358="",I358=""),"",IF(I358&gt;F358,IF(OR(K358="Oui",'00_Parametres'!$B$29="Oui"),I358,F358),I358))</f>
      </c>
      <c r="N358" s="25">
        <f>IF(OR(A358="",H358="",E358=""),0,MAX(0,ROUND((H358-E358)*1440,0)))</f>
      </c>
      <c r="O358" s="25">
        <f>IF(OR(A358="",I358="",F358=""),0,MAX(0,ROUND((F358-I358)*1440,0)))</f>
      </c>
      <c r="P358" s="12">
        <f>IF(OR(L358="",M358=""),0,MAX(0,ROUND((M358-L358)*24-G358,2)))</f>
      </c>
      <c r="Q358" s="12">
        <f>IF(P358=0,0,MIN(P358,'00_Parametres'!$B$23))</f>
      </c>
      <c r="R358" s="12">
        <f>IF(P358=0,0,MAX(0,P358-'00_Parametres'!$B$23))</f>
      </c>
      <c r="S358" s="10"/>
      <c r="T358" s="10"/>
      <c r="U358" s="10"/>
    </row>
    <row r="359" spans="1:21" x14ac:dyDescent="0.25">
      <c r="A359" s="18"/>
      <c r="B359" s="18"/>
      <c r="C359" s="9">
        <f>IF(B359="","",IFERROR(VLOOKUP(B359,'01_Employes'!$A$6:$Q$30,4,FALSE),"⚠ ID inconnu"))</f>
      </c>
      <c r="D359" s="9">
        <f>IF(A359="","",TEXT(A359,"dddd"))</f>
      </c>
      <c r="E359" s="24">
        <f>IF(A359="","",IFERROR(INDEX('00_Parametres'!$C$7:$C$13,WEEKDAY(A359,2)),""))</f>
      </c>
      <c r="F359" s="24">
        <f>IF(A359="","",IFERROR(INDEX('00_Parametres'!$D$7:$D$13,WEEKDAY(A359,2)),""))</f>
      </c>
      <c r="G359" s="24">
        <f>IF(A359="","",IFERROR(INDEX('00_Parametres'!$E$7:$E$13,WEEKDAY(A359,2)),0))</f>
      </c>
      <c r="H359" s="11"/>
      <c r="I359" s="11"/>
      <c r="J359" s="11"/>
      <c r="K359" s="11"/>
      <c r="L359" s="12">
        <f>IF(OR(A359="",H359=""),"",IF(H359&lt;E359,IF(OR(J359="Oui",'00_Parametres'!$B$28="Oui"),H359,E359),H359))</f>
      </c>
      <c r="M359" s="12">
        <f>IF(OR(A359="",I359=""),"",IF(I359&gt;F359,IF(OR(K359="Oui",'00_Parametres'!$B$29="Oui"),I359,F359),I359))</f>
      </c>
      <c r="N359" s="25">
        <f>IF(OR(A359="",H359="",E359=""),0,MAX(0,ROUND((H359-E359)*1440,0)))</f>
      </c>
      <c r="O359" s="25">
        <f>IF(OR(A359="",I359="",F359=""),0,MAX(0,ROUND((F359-I359)*1440,0)))</f>
      </c>
      <c r="P359" s="12">
        <f>IF(OR(L359="",M359=""),0,MAX(0,ROUND((M359-L359)*24-G359,2)))</f>
      </c>
      <c r="Q359" s="12">
        <f>IF(P359=0,0,MIN(P359,'00_Parametres'!$B$23))</f>
      </c>
      <c r="R359" s="12">
        <f>IF(P359=0,0,MAX(0,P359-'00_Parametres'!$B$23))</f>
      </c>
      <c r="S359" s="10"/>
      <c r="T359" s="10"/>
      <c r="U359" s="10"/>
    </row>
    <row r="360" spans="1:21" x14ac:dyDescent="0.25">
      <c r="A360" s="18"/>
      <c r="B360" s="18"/>
      <c r="C360" s="9">
        <f>IF(B360="","",IFERROR(VLOOKUP(B360,'01_Employes'!$A$6:$Q$30,4,FALSE),"⚠ ID inconnu"))</f>
      </c>
      <c r="D360" s="9">
        <f>IF(A360="","",TEXT(A360,"dddd"))</f>
      </c>
      <c r="E360" s="24">
        <f>IF(A360="","",IFERROR(INDEX('00_Parametres'!$C$7:$C$13,WEEKDAY(A360,2)),""))</f>
      </c>
      <c r="F360" s="24">
        <f>IF(A360="","",IFERROR(INDEX('00_Parametres'!$D$7:$D$13,WEEKDAY(A360,2)),""))</f>
      </c>
      <c r="G360" s="24">
        <f>IF(A360="","",IFERROR(INDEX('00_Parametres'!$E$7:$E$13,WEEKDAY(A360,2)),0))</f>
      </c>
      <c r="H360" s="11"/>
      <c r="I360" s="11"/>
      <c r="J360" s="11"/>
      <c r="K360" s="11"/>
      <c r="L360" s="12">
        <f>IF(OR(A360="",H360=""),"",IF(H360&lt;E360,IF(OR(J360="Oui",'00_Parametres'!$B$28="Oui"),H360,E360),H360))</f>
      </c>
      <c r="M360" s="12">
        <f>IF(OR(A360="",I360=""),"",IF(I360&gt;F360,IF(OR(K360="Oui",'00_Parametres'!$B$29="Oui"),I360,F360),I360))</f>
      </c>
      <c r="N360" s="25">
        <f>IF(OR(A360="",H360="",E360=""),0,MAX(0,ROUND((H360-E360)*1440,0)))</f>
      </c>
      <c r="O360" s="25">
        <f>IF(OR(A360="",I360="",F360=""),0,MAX(0,ROUND((F360-I360)*1440,0)))</f>
      </c>
      <c r="P360" s="12">
        <f>IF(OR(L360="",M360=""),0,MAX(0,ROUND((M360-L360)*24-G360,2)))</f>
      </c>
      <c r="Q360" s="12">
        <f>IF(P360=0,0,MIN(P360,'00_Parametres'!$B$23))</f>
      </c>
      <c r="R360" s="12">
        <f>IF(P360=0,0,MAX(0,P360-'00_Parametres'!$B$23))</f>
      </c>
      <c r="S360" s="10"/>
      <c r="T360" s="10"/>
      <c r="U360" s="10"/>
    </row>
    <row r="361" spans="1:21" x14ac:dyDescent="0.25">
      <c r="A361" s="18"/>
      <c r="B361" s="18"/>
      <c r="C361" s="9">
        <f>IF(B361="","",IFERROR(VLOOKUP(B361,'01_Employes'!$A$6:$Q$30,4,FALSE),"⚠ ID inconnu"))</f>
      </c>
      <c r="D361" s="9">
        <f>IF(A361="","",TEXT(A361,"dddd"))</f>
      </c>
      <c r="E361" s="24">
        <f>IF(A361="","",IFERROR(INDEX('00_Parametres'!$C$7:$C$13,WEEKDAY(A361,2)),""))</f>
      </c>
      <c r="F361" s="24">
        <f>IF(A361="","",IFERROR(INDEX('00_Parametres'!$D$7:$D$13,WEEKDAY(A361,2)),""))</f>
      </c>
      <c r="G361" s="24">
        <f>IF(A361="","",IFERROR(INDEX('00_Parametres'!$E$7:$E$13,WEEKDAY(A361,2)),0))</f>
      </c>
      <c r="H361" s="11"/>
      <c r="I361" s="11"/>
      <c r="J361" s="11"/>
      <c r="K361" s="11"/>
      <c r="L361" s="12">
        <f>IF(OR(A361="",H361=""),"",IF(H361&lt;E361,IF(OR(J361="Oui",'00_Parametres'!$B$28="Oui"),H361,E361),H361))</f>
      </c>
      <c r="M361" s="12">
        <f>IF(OR(A361="",I361=""),"",IF(I361&gt;F361,IF(OR(K361="Oui",'00_Parametres'!$B$29="Oui"),I361,F361),I361))</f>
      </c>
      <c r="N361" s="25">
        <f>IF(OR(A361="",H361="",E361=""),0,MAX(0,ROUND((H361-E361)*1440,0)))</f>
      </c>
      <c r="O361" s="25">
        <f>IF(OR(A361="",I361="",F361=""),0,MAX(0,ROUND((F361-I361)*1440,0)))</f>
      </c>
      <c r="P361" s="12">
        <f>IF(OR(L361="",M361=""),0,MAX(0,ROUND((M361-L361)*24-G361,2)))</f>
      </c>
      <c r="Q361" s="12">
        <f>IF(P361=0,0,MIN(P361,'00_Parametres'!$B$23))</f>
      </c>
      <c r="R361" s="12">
        <f>IF(P361=0,0,MAX(0,P361-'00_Parametres'!$B$23))</f>
      </c>
      <c r="S361" s="10"/>
      <c r="T361" s="10"/>
      <c r="U361" s="10"/>
    </row>
    <row r="362" spans="1:21" x14ac:dyDescent="0.25">
      <c r="A362" s="18"/>
      <c r="B362" s="18"/>
      <c r="C362" s="9">
        <f>IF(B362="","",IFERROR(VLOOKUP(B362,'01_Employes'!$A$6:$Q$30,4,FALSE),"⚠ ID inconnu"))</f>
      </c>
      <c r="D362" s="9">
        <f>IF(A362="","",TEXT(A362,"dddd"))</f>
      </c>
      <c r="E362" s="24">
        <f>IF(A362="","",IFERROR(INDEX('00_Parametres'!$C$7:$C$13,WEEKDAY(A362,2)),""))</f>
      </c>
      <c r="F362" s="24">
        <f>IF(A362="","",IFERROR(INDEX('00_Parametres'!$D$7:$D$13,WEEKDAY(A362,2)),""))</f>
      </c>
      <c r="G362" s="24">
        <f>IF(A362="","",IFERROR(INDEX('00_Parametres'!$E$7:$E$13,WEEKDAY(A362,2)),0))</f>
      </c>
      <c r="H362" s="11"/>
      <c r="I362" s="11"/>
      <c r="J362" s="11"/>
      <c r="K362" s="11"/>
      <c r="L362" s="12">
        <f>IF(OR(A362="",H362=""),"",IF(H362&lt;E362,IF(OR(J362="Oui",'00_Parametres'!$B$28="Oui"),H362,E362),H362))</f>
      </c>
      <c r="M362" s="12">
        <f>IF(OR(A362="",I362=""),"",IF(I362&gt;F362,IF(OR(K362="Oui",'00_Parametres'!$B$29="Oui"),I362,F362),I362))</f>
      </c>
      <c r="N362" s="25">
        <f>IF(OR(A362="",H362="",E362=""),0,MAX(0,ROUND((H362-E362)*1440,0)))</f>
      </c>
      <c r="O362" s="25">
        <f>IF(OR(A362="",I362="",F362=""),0,MAX(0,ROUND((F362-I362)*1440,0)))</f>
      </c>
      <c r="P362" s="12">
        <f>IF(OR(L362="",M362=""),0,MAX(0,ROUND((M362-L362)*24-G362,2)))</f>
      </c>
      <c r="Q362" s="12">
        <f>IF(P362=0,0,MIN(P362,'00_Parametres'!$B$23))</f>
      </c>
      <c r="R362" s="12">
        <f>IF(P362=0,0,MAX(0,P362-'00_Parametres'!$B$23))</f>
      </c>
      <c r="S362" s="10"/>
      <c r="T362" s="10"/>
      <c r="U362" s="10"/>
    </row>
    <row r="363" spans="1:21" x14ac:dyDescent="0.25">
      <c r="A363" s="18"/>
      <c r="B363" s="18"/>
      <c r="C363" s="9">
        <f>IF(B363="","",IFERROR(VLOOKUP(B363,'01_Employes'!$A$6:$Q$30,4,FALSE),"⚠ ID inconnu"))</f>
      </c>
      <c r="D363" s="9">
        <f>IF(A363="","",TEXT(A363,"dddd"))</f>
      </c>
      <c r="E363" s="24">
        <f>IF(A363="","",IFERROR(INDEX('00_Parametres'!$C$7:$C$13,WEEKDAY(A363,2)),""))</f>
      </c>
      <c r="F363" s="24">
        <f>IF(A363="","",IFERROR(INDEX('00_Parametres'!$D$7:$D$13,WEEKDAY(A363,2)),""))</f>
      </c>
      <c r="G363" s="24">
        <f>IF(A363="","",IFERROR(INDEX('00_Parametres'!$E$7:$E$13,WEEKDAY(A363,2)),0))</f>
      </c>
      <c r="H363" s="11"/>
      <c r="I363" s="11"/>
      <c r="J363" s="11"/>
      <c r="K363" s="11"/>
      <c r="L363" s="12">
        <f>IF(OR(A363="",H363=""),"",IF(H363&lt;E363,IF(OR(J363="Oui",'00_Parametres'!$B$28="Oui"),H363,E363),H363))</f>
      </c>
      <c r="M363" s="12">
        <f>IF(OR(A363="",I363=""),"",IF(I363&gt;F363,IF(OR(K363="Oui",'00_Parametres'!$B$29="Oui"),I363,F363),I363))</f>
      </c>
      <c r="N363" s="25">
        <f>IF(OR(A363="",H363="",E363=""),0,MAX(0,ROUND((H363-E363)*1440,0)))</f>
      </c>
      <c r="O363" s="25">
        <f>IF(OR(A363="",I363="",F363=""),0,MAX(0,ROUND((F363-I363)*1440,0)))</f>
      </c>
      <c r="P363" s="12">
        <f>IF(OR(L363="",M363=""),0,MAX(0,ROUND((M363-L363)*24-G363,2)))</f>
      </c>
      <c r="Q363" s="12">
        <f>IF(P363=0,0,MIN(P363,'00_Parametres'!$B$23))</f>
      </c>
      <c r="R363" s="12">
        <f>IF(P363=0,0,MAX(0,P363-'00_Parametres'!$B$23))</f>
      </c>
      <c r="S363" s="10"/>
      <c r="T363" s="10"/>
      <c r="U363" s="10"/>
    </row>
    <row r="364" spans="1:21" x14ac:dyDescent="0.25">
      <c r="A364" s="18"/>
      <c r="B364" s="18"/>
      <c r="C364" s="9">
        <f>IF(B364="","",IFERROR(VLOOKUP(B364,'01_Employes'!$A$6:$Q$30,4,FALSE),"⚠ ID inconnu"))</f>
      </c>
      <c r="D364" s="9">
        <f>IF(A364="","",TEXT(A364,"dddd"))</f>
      </c>
      <c r="E364" s="24">
        <f>IF(A364="","",IFERROR(INDEX('00_Parametres'!$C$7:$C$13,WEEKDAY(A364,2)),""))</f>
      </c>
      <c r="F364" s="24">
        <f>IF(A364="","",IFERROR(INDEX('00_Parametres'!$D$7:$D$13,WEEKDAY(A364,2)),""))</f>
      </c>
      <c r="G364" s="24">
        <f>IF(A364="","",IFERROR(INDEX('00_Parametres'!$E$7:$E$13,WEEKDAY(A364,2)),0))</f>
      </c>
      <c r="H364" s="11"/>
      <c r="I364" s="11"/>
      <c r="J364" s="11"/>
      <c r="K364" s="11"/>
      <c r="L364" s="12">
        <f>IF(OR(A364="",H364=""),"",IF(H364&lt;E364,IF(OR(J364="Oui",'00_Parametres'!$B$28="Oui"),H364,E364),H364))</f>
      </c>
      <c r="M364" s="12">
        <f>IF(OR(A364="",I364=""),"",IF(I364&gt;F364,IF(OR(K364="Oui",'00_Parametres'!$B$29="Oui"),I364,F364),I364))</f>
      </c>
      <c r="N364" s="25">
        <f>IF(OR(A364="",H364="",E364=""),0,MAX(0,ROUND((H364-E364)*1440,0)))</f>
      </c>
      <c r="O364" s="25">
        <f>IF(OR(A364="",I364="",F364=""),0,MAX(0,ROUND((F364-I364)*1440,0)))</f>
      </c>
      <c r="P364" s="12">
        <f>IF(OR(L364="",M364=""),0,MAX(0,ROUND((M364-L364)*24-G364,2)))</f>
      </c>
      <c r="Q364" s="12">
        <f>IF(P364=0,0,MIN(P364,'00_Parametres'!$B$23))</f>
      </c>
      <c r="R364" s="12">
        <f>IF(P364=0,0,MAX(0,P364-'00_Parametres'!$B$23))</f>
      </c>
      <c r="S364" s="10"/>
      <c r="T364" s="10"/>
      <c r="U364" s="10"/>
    </row>
    <row r="365" spans="1:21" x14ac:dyDescent="0.25">
      <c r="A365" s="18"/>
      <c r="B365" s="18"/>
      <c r="C365" s="9">
        <f>IF(B365="","",IFERROR(VLOOKUP(B365,'01_Employes'!$A$6:$Q$30,4,FALSE),"⚠ ID inconnu"))</f>
      </c>
      <c r="D365" s="9">
        <f>IF(A365="","",TEXT(A365,"dddd"))</f>
      </c>
      <c r="E365" s="24">
        <f>IF(A365="","",IFERROR(INDEX('00_Parametres'!$C$7:$C$13,WEEKDAY(A365,2)),""))</f>
      </c>
      <c r="F365" s="24">
        <f>IF(A365="","",IFERROR(INDEX('00_Parametres'!$D$7:$D$13,WEEKDAY(A365,2)),""))</f>
      </c>
      <c r="G365" s="24">
        <f>IF(A365="","",IFERROR(INDEX('00_Parametres'!$E$7:$E$13,WEEKDAY(A365,2)),0))</f>
      </c>
      <c r="H365" s="11"/>
      <c r="I365" s="11"/>
      <c r="J365" s="11"/>
      <c r="K365" s="11"/>
      <c r="L365" s="12">
        <f>IF(OR(A365="",H365=""),"",IF(H365&lt;E365,IF(OR(J365="Oui",'00_Parametres'!$B$28="Oui"),H365,E365),H365))</f>
      </c>
      <c r="M365" s="12">
        <f>IF(OR(A365="",I365=""),"",IF(I365&gt;F365,IF(OR(K365="Oui",'00_Parametres'!$B$29="Oui"),I365,F365),I365))</f>
      </c>
      <c r="N365" s="25">
        <f>IF(OR(A365="",H365="",E365=""),0,MAX(0,ROUND((H365-E365)*1440,0)))</f>
      </c>
      <c r="O365" s="25">
        <f>IF(OR(A365="",I365="",F365=""),0,MAX(0,ROUND((F365-I365)*1440,0)))</f>
      </c>
      <c r="P365" s="12">
        <f>IF(OR(L365="",M365=""),0,MAX(0,ROUND((M365-L365)*24-G365,2)))</f>
      </c>
      <c r="Q365" s="12">
        <f>IF(P365=0,0,MIN(P365,'00_Parametres'!$B$23))</f>
      </c>
      <c r="R365" s="12">
        <f>IF(P365=0,0,MAX(0,P365-'00_Parametres'!$B$23))</f>
      </c>
      <c r="S365" s="10"/>
      <c r="T365" s="10"/>
      <c r="U365" s="10"/>
    </row>
    <row r="366" spans="1:21" x14ac:dyDescent="0.25">
      <c r="A366" s="18"/>
      <c r="B366" s="18"/>
      <c r="C366" s="9">
        <f>IF(B366="","",IFERROR(VLOOKUP(B366,'01_Employes'!$A$6:$Q$30,4,FALSE),"⚠ ID inconnu"))</f>
      </c>
      <c r="D366" s="9">
        <f>IF(A366="","",TEXT(A366,"dddd"))</f>
      </c>
      <c r="E366" s="24">
        <f>IF(A366="","",IFERROR(INDEX('00_Parametres'!$C$7:$C$13,WEEKDAY(A366,2)),""))</f>
      </c>
      <c r="F366" s="24">
        <f>IF(A366="","",IFERROR(INDEX('00_Parametres'!$D$7:$D$13,WEEKDAY(A366,2)),""))</f>
      </c>
      <c r="G366" s="24">
        <f>IF(A366="","",IFERROR(INDEX('00_Parametres'!$E$7:$E$13,WEEKDAY(A366,2)),0))</f>
      </c>
      <c r="H366" s="11"/>
      <c r="I366" s="11"/>
      <c r="J366" s="11"/>
      <c r="K366" s="11"/>
      <c r="L366" s="12">
        <f>IF(OR(A366="",H366=""),"",IF(H366&lt;E366,IF(OR(J366="Oui",'00_Parametres'!$B$28="Oui"),H366,E366),H366))</f>
      </c>
      <c r="M366" s="12">
        <f>IF(OR(A366="",I366=""),"",IF(I366&gt;F366,IF(OR(K366="Oui",'00_Parametres'!$B$29="Oui"),I366,F366),I366))</f>
      </c>
      <c r="N366" s="25">
        <f>IF(OR(A366="",H366="",E366=""),0,MAX(0,ROUND((H366-E366)*1440,0)))</f>
      </c>
      <c r="O366" s="25">
        <f>IF(OR(A366="",I366="",F366=""),0,MAX(0,ROUND((F366-I366)*1440,0)))</f>
      </c>
      <c r="P366" s="12">
        <f>IF(OR(L366="",M366=""),0,MAX(0,ROUND((M366-L366)*24-G366,2)))</f>
      </c>
      <c r="Q366" s="12">
        <f>IF(P366=0,0,MIN(P366,'00_Parametres'!$B$23))</f>
      </c>
      <c r="R366" s="12">
        <f>IF(P366=0,0,MAX(0,P366-'00_Parametres'!$B$23))</f>
      </c>
      <c r="S366" s="10"/>
      <c r="T366" s="10"/>
      <c r="U366" s="10"/>
    </row>
    <row r="367" spans="1:21" x14ac:dyDescent="0.25">
      <c r="A367" s="18"/>
      <c r="B367" s="18"/>
      <c r="C367" s="9">
        <f>IF(B367="","",IFERROR(VLOOKUP(B367,'01_Employes'!$A$6:$Q$30,4,FALSE),"⚠ ID inconnu"))</f>
      </c>
      <c r="D367" s="9">
        <f>IF(A367="","",TEXT(A367,"dddd"))</f>
      </c>
      <c r="E367" s="24">
        <f>IF(A367="","",IFERROR(INDEX('00_Parametres'!$C$7:$C$13,WEEKDAY(A367,2)),""))</f>
      </c>
      <c r="F367" s="24">
        <f>IF(A367="","",IFERROR(INDEX('00_Parametres'!$D$7:$D$13,WEEKDAY(A367,2)),""))</f>
      </c>
      <c r="G367" s="24">
        <f>IF(A367="","",IFERROR(INDEX('00_Parametres'!$E$7:$E$13,WEEKDAY(A367,2)),0))</f>
      </c>
      <c r="H367" s="11"/>
      <c r="I367" s="11"/>
      <c r="J367" s="11"/>
      <c r="K367" s="11"/>
      <c r="L367" s="12">
        <f>IF(OR(A367="",H367=""),"",IF(H367&lt;E367,IF(OR(J367="Oui",'00_Parametres'!$B$28="Oui"),H367,E367),H367))</f>
      </c>
      <c r="M367" s="12">
        <f>IF(OR(A367="",I367=""),"",IF(I367&gt;F367,IF(OR(K367="Oui",'00_Parametres'!$B$29="Oui"),I367,F367),I367))</f>
      </c>
      <c r="N367" s="25">
        <f>IF(OR(A367="",H367="",E367=""),0,MAX(0,ROUND((H367-E367)*1440,0)))</f>
      </c>
      <c r="O367" s="25">
        <f>IF(OR(A367="",I367="",F367=""),0,MAX(0,ROUND((F367-I367)*1440,0)))</f>
      </c>
      <c r="P367" s="12">
        <f>IF(OR(L367="",M367=""),0,MAX(0,ROUND((M367-L367)*24-G367,2)))</f>
      </c>
      <c r="Q367" s="12">
        <f>IF(P367=0,0,MIN(P367,'00_Parametres'!$B$23))</f>
      </c>
      <c r="R367" s="12">
        <f>IF(P367=0,0,MAX(0,P367-'00_Parametres'!$B$23))</f>
      </c>
      <c r="S367" s="10"/>
      <c r="T367" s="10"/>
      <c r="U367" s="10"/>
    </row>
    <row r="368" spans="1:21" x14ac:dyDescent="0.25">
      <c r="A368" s="18"/>
      <c r="B368" s="18"/>
      <c r="C368" s="9">
        <f>IF(B368="","",IFERROR(VLOOKUP(B368,'01_Employes'!$A$6:$Q$30,4,FALSE),"⚠ ID inconnu"))</f>
      </c>
      <c r="D368" s="9">
        <f>IF(A368="","",TEXT(A368,"dddd"))</f>
      </c>
      <c r="E368" s="24">
        <f>IF(A368="","",IFERROR(INDEX('00_Parametres'!$C$7:$C$13,WEEKDAY(A368,2)),""))</f>
      </c>
      <c r="F368" s="24">
        <f>IF(A368="","",IFERROR(INDEX('00_Parametres'!$D$7:$D$13,WEEKDAY(A368,2)),""))</f>
      </c>
      <c r="G368" s="24">
        <f>IF(A368="","",IFERROR(INDEX('00_Parametres'!$E$7:$E$13,WEEKDAY(A368,2)),0))</f>
      </c>
      <c r="H368" s="11"/>
      <c r="I368" s="11"/>
      <c r="J368" s="11"/>
      <c r="K368" s="11"/>
      <c r="L368" s="12">
        <f>IF(OR(A368="",H368=""),"",IF(H368&lt;E368,IF(OR(J368="Oui",'00_Parametres'!$B$28="Oui"),H368,E368),H368))</f>
      </c>
      <c r="M368" s="12">
        <f>IF(OR(A368="",I368=""),"",IF(I368&gt;F368,IF(OR(K368="Oui",'00_Parametres'!$B$29="Oui"),I368,F368),I368))</f>
      </c>
      <c r="N368" s="25">
        <f>IF(OR(A368="",H368="",E368=""),0,MAX(0,ROUND((H368-E368)*1440,0)))</f>
      </c>
      <c r="O368" s="25">
        <f>IF(OR(A368="",I368="",F368=""),0,MAX(0,ROUND((F368-I368)*1440,0)))</f>
      </c>
      <c r="P368" s="12">
        <f>IF(OR(L368="",M368=""),0,MAX(0,ROUND((M368-L368)*24-G368,2)))</f>
      </c>
      <c r="Q368" s="12">
        <f>IF(P368=0,0,MIN(P368,'00_Parametres'!$B$23))</f>
      </c>
      <c r="R368" s="12">
        <f>IF(P368=0,0,MAX(0,P368-'00_Parametres'!$B$23))</f>
      </c>
      <c r="S368" s="10"/>
      <c r="T368" s="10"/>
      <c r="U368" s="10"/>
    </row>
    <row r="369" spans="1:21" x14ac:dyDescent="0.25">
      <c r="A369" s="18"/>
      <c r="B369" s="18"/>
      <c r="C369" s="9">
        <f>IF(B369="","",IFERROR(VLOOKUP(B369,'01_Employes'!$A$6:$Q$30,4,FALSE),"⚠ ID inconnu"))</f>
      </c>
      <c r="D369" s="9">
        <f>IF(A369="","",TEXT(A369,"dddd"))</f>
      </c>
      <c r="E369" s="24">
        <f>IF(A369="","",IFERROR(INDEX('00_Parametres'!$C$7:$C$13,WEEKDAY(A369,2)),""))</f>
      </c>
      <c r="F369" s="24">
        <f>IF(A369="","",IFERROR(INDEX('00_Parametres'!$D$7:$D$13,WEEKDAY(A369,2)),""))</f>
      </c>
      <c r="G369" s="24">
        <f>IF(A369="","",IFERROR(INDEX('00_Parametres'!$E$7:$E$13,WEEKDAY(A369,2)),0))</f>
      </c>
      <c r="H369" s="11"/>
      <c r="I369" s="11"/>
      <c r="J369" s="11"/>
      <c r="K369" s="11"/>
      <c r="L369" s="12">
        <f>IF(OR(A369="",H369=""),"",IF(H369&lt;E369,IF(OR(J369="Oui",'00_Parametres'!$B$28="Oui"),H369,E369),H369))</f>
      </c>
      <c r="M369" s="12">
        <f>IF(OR(A369="",I369=""),"",IF(I369&gt;F369,IF(OR(K369="Oui",'00_Parametres'!$B$29="Oui"),I369,F369),I369))</f>
      </c>
      <c r="N369" s="25">
        <f>IF(OR(A369="",H369="",E369=""),0,MAX(0,ROUND((H369-E369)*1440,0)))</f>
      </c>
      <c r="O369" s="25">
        <f>IF(OR(A369="",I369="",F369=""),0,MAX(0,ROUND((F369-I369)*1440,0)))</f>
      </c>
      <c r="P369" s="12">
        <f>IF(OR(L369="",M369=""),0,MAX(0,ROUND((M369-L369)*24-G369,2)))</f>
      </c>
      <c r="Q369" s="12">
        <f>IF(P369=0,0,MIN(P369,'00_Parametres'!$B$23))</f>
      </c>
      <c r="R369" s="12">
        <f>IF(P369=0,0,MAX(0,P369-'00_Parametres'!$B$23))</f>
      </c>
      <c r="S369" s="10"/>
      <c r="T369" s="10"/>
      <c r="U369" s="10"/>
    </row>
    <row r="370" spans="1:21" x14ac:dyDescent="0.25">
      <c r="A370" s="18"/>
      <c r="B370" s="18"/>
      <c r="C370" s="9">
        <f>IF(B370="","",IFERROR(VLOOKUP(B370,'01_Employes'!$A$6:$Q$30,4,FALSE),"⚠ ID inconnu"))</f>
      </c>
      <c r="D370" s="9">
        <f>IF(A370="","",TEXT(A370,"dddd"))</f>
      </c>
      <c r="E370" s="24">
        <f>IF(A370="","",IFERROR(INDEX('00_Parametres'!$C$7:$C$13,WEEKDAY(A370,2)),""))</f>
      </c>
      <c r="F370" s="24">
        <f>IF(A370="","",IFERROR(INDEX('00_Parametres'!$D$7:$D$13,WEEKDAY(A370,2)),""))</f>
      </c>
      <c r="G370" s="24">
        <f>IF(A370="","",IFERROR(INDEX('00_Parametres'!$E$7:$E$13,WEEKDAY(A370,2)),0))</f>
      </c>
      <c r="H370" s="11"/>
      <c r="I370" s="11"/>
      <c r="J370" s="11"/>
      <c r="K370" s="11"/>
      <c r="L370" s="12">
        <f>IF(OR(A370="",H370=""),"",IF(H370&lt;E370,IF(OR(J370="Oui",'00_Parametres'!$B$28="Oui"),H370,E370),H370))</f>
      </c>
      <c r="M370" s="12">
        <f>IF(OR(A370="",I370=""),"",IF(I370&gt;F370,IF(OR(K370="Oui",'00_Parametres'!$B$29="Oui"),I370,F370),I370))</f>
      </c>
      <c r="N370" s="25">
        <f>IF(OR(A370="",H370="",E370=""),0,MAX(0,ROUND((H370-E370)*1440,0)))</f>
      </c>
      <c r="O370" s="25">
        <f>IF(OR(A370="",I370="",F370=""),0,MAX(0,ROUND((F370-I370)*1440,0)))</f>
      </c>
      <c r="P370" s="12">
        <f>IF(OR(L370="",M370=""),0,MAX(0,ROUND((M370-L370)*24-G370,2)))</f>
      </c>
      <c r="Q370" s="12">
        <f>IF(P370=0,0,MIN(P370,'00_Parametres'!$B$23))</f>
      </c>
      <c r="R370" s="12">
        <f>IF(P370=0,0,MAX(0,P370-'00_Parametres'!$B$23))</f>
      </c>
      <c r="S370" s="10"/>
      <c r="T370" s="10"/>
      <c r="U370" s="10"/>
    </row>
    <row r="371" spans="1:21" x14ac:dyDescent="0.25">
      <c r="A371" s="18"/>
      <c r="B371" s="18"/>
      <c r="C371" s="9">
        <f>IF(B371="","",IFERROR(VLOOKUP(B371,'01_Employes'!$A$6:$Q$30,4,FALSE),"⚠ ID inconnu"))</f>
      </c>
      <c r="D371" s="9">
        <f>IF(A371="","",TEXT(A371,"dddd"))</f>
      </c>
      <c r="E371" s="24">
        <f>IF(A371="","",IFERROR(INDEX('00_Parametres'!$C$7:$C$13,WEEKDAY(A371,2)),""))</f>
      </c>
      <c r="F371" s="24">
        <f>IF(A371="","",IFERROR(INDEX('00_Parametres'!$D$7:$D$13,WEEKDAY(A371,2)),""))</f>
      </c>
      <c r="G371" s="24">
        <f>IF(A371="","",IFERROR(INDEX('00_Parametres'!$E$7:$E$13,WEEKDAY(A371,2)),0))</f>
      </c>
      <c r="H371" s="11"/>
      <c r="I371" s="11"/>
      <c r="J371" s="11"/>
      <c r="K371" s="11"/>
      <c r="L371" s="12">
        <f>IF(OR(A371="",H371=""),"",IF(H371&lt;E371,IF(OR(J371="Oui",'00_Parametres'!$B$28="Oui"),H371,E371),H371))</f>
      </c>
      <c r="M371" s="12">
        <f>IF(OR(A371="",I371=""),"",IF(I371&gt;F371,IF(OR(K371="Oui",'00_Parametres'!$B$29="Oui"),I371,F371),I371))</f>
      </c>
      <c r="N371" s="25">
        <f>IF(OR(A371="",H371="",E371=""),0,MAX(0,ROUND((H371-E371)*1440,0)))</f>
      </c>
      <c r="O371" s="25">
        <f>IF(OR(A371="",I371="",F371=""),0,MAX(0,ROUND((F371-I371)*1440,0)))</f>
      </c>
      <c r="P371" s="12">
        <f>IF(OR(L371="",M371=""),0,MAX(0,ROUND((M371-L371)*24-G371,2)))</f>
      </c>
      <c r="Q371" s="12">
        <f>IF(P371=0,0,MIN(P371,'00_Parametres'!$B$23))</f>
      </c>
      <c r="R371" s="12">
        <f>IF(P371=0,0,MAX(0,P371-'00_Parametres'!$B$23))</f>
      </c>
      <c r="S371" s="10"/>
      <c r="T371" s="10"/>
      <c r="U371" s="10"/>
    </row>
    <row r="372" spans="1:21" x14ac:dyDescent="0.25">
      <c r="A372" s="18"/>
      <c r="B372" s="18"/>
      <c r="C372" s="9">
        <f>IF(B372="","",IFERROR(VLOOKUP(B372,'01_Employes'!$A$6:$Q$30,4,FALSE),"⚠ ID inconnu"))</f>
      </c>
      <c r="D372" s="9">
        <f>IF(A372="","",TEXT(A372,"dddd"))</f>
      </c>
      <c r="E372" s="24">
        <f>IF(A372="","",IFERROR(INDEX('00_Parametres'!$C$7:$C$13,WEEKDAY(A372,2)),""))</f>
      </c>
      <c r="F372" s="24">
        <f>IF(A372="","",IFERROR(INDEX('00_Parametres'!$D$7:$D$13,WEEKDAY(A372,2)),""))</f>
      </c>
      <c r="G372" s="24">
        <f>IF(A372="","",IFERROR(INDEX('00_Parametres'!$E$7:$E$13,WEEKDAY(A372,2)),0))</f>
      </c>
      <c r="H372" s="11"/>
      <c r="I372" s="11"/>
      <c r="J372" s="11"/>
      <c r="K372" s="11"/>
      <c r="L372" s="12">
        <f>IF(OR(A372="",H372=""),"",IF(H372&lt;E372,IF(OR(J372="Oui",'00_Parametres'!$B$28="Oui"),H372,E372),H372))</f>
      </c>
      <c r="M372" s="12">
        <f>IF(OR(A372="",I372=""),"",IF(I372&gt;F372,IF(OR(K372="Oui",'00_Parametres'!$B$29="Oui"),I372,F372),I372))</f>
      </c>
      <c r="N372" s="25">
        <f>IF(OR(A372="",H372="",E372=""),0,MAX(0,ROUND((H372-E372)*1440,0)))</f>
      </c>
      <c r="O372" s="25">
        <f>IF(OR(A372="",I372="",F372=""),0,MAX(0,ROUND((F372-I372)*1440,0)))</f>
      </c>
      <c r="P372" s="12">
        <f>IF(OR(L372="",M372=""),0,MAX(0,ROUND((M372-L372)*24-G372,2)))</f>
      </c>
      <c r="Q372" s="12">
        <f>IF(P372=0,0,MIN(P372,'00_Parametres'!$B$23))</f>
      </c>
      <c r="R372" s="12">
        <f>IF(P372=0,0,MAX(0,P372-'00_Parametres'!$B$23))</f>
      </c>
      <c r="S372" s="10"/>
      <c r="T372" s="10"/>
      <c r="U372" s="10"/>
    </row>
    <row r="373" spans="1:21" x14ac:dyDescent="0.25">
      <c r="A373" s="18"/>
      <c r="B373" s="18"/>
      <c r="C373" s="9">
        <f>IF(B373="","",IFERROR(VLOOKUP(B373,'01_Employes'!$A$6:$Q$30,4,FALSE),"⚠ ID inconnu"))</f>
      </c>
      <c r="D373" s="9">
        <f>IF(A373="","",TEXT(A373,"dddd"))</f>
      </c>
      <c r="E373" s="24">
        <f>IF(A373="","",IFERROR(INDEX('00_Parametres'!$C$7:$C$13,WEEKDAY(A373,2)),""))</f>
      </c>
      <c r="F373" s="24">
        <f>IF(A373="","",IFERROR(INDEX('00_Parametres'!$D$7:$D$13,WEEKDAY(A373,2)),""))</f>
      </c>
      <c r="G373" s="24">
        <f>IF(A373="","",IFERROR(INDEX('00_Parametres'!$E$7:$E$13,WEEKDAY(A373,2)),0))</f>
      </c>
      <c r="H373" s="11"/>
      <c r="I373" s="11"/>
      <c r="J373" s="11"/>
      <c r="K373" s="11"/>
      <c r="L373" s="12">
        <f>IF(OR(A373="",H373=""),"",IF(H373&lt;E373,IF(OR(J373="Oui",'00_Parametres'!$B$28="Oui"),H373,E373),H373))</f>
      </c>
      <c r="M373" s="12">
        <f>IF(OR(A373="",I373=""),"",IF(I373&gt;F373,IF(OR(K373="Oui",'00_Parametres'!$B$29="Oui"),I373,F373),I373))</f>
      </c>
      <c r="N373" s="25">
        <f>IF(OR(A373="",H373="",E373=""),0,MAX(0,ROUND((H373-E373)*1440,0)))</f>
      </c>
      <c r="O373" s="25">
        <f>IF(OR(A373="",I373="",F373=""),0,MAX(0,ROUND((F373-I373)*1440,0)))</f>
      </c>
      <c r="P373" s="12">
        <f>IF(OR(L373="",M373=""),0,MAX(0,ROUND((M373-L373)*24-G373,2)))</f>
      </c>
      <c r="Q373" s="12">
        <f>IF(P373=0,0,MIN(P373,'00_Parametres'!$B$23))</f>
      </c>
      <c r="R373" s="12">
        <f>IF(P373=0,0,MAX(0,P373-'00_Parametres'!$B$23))</f>
      </c>
      <c r="S373" s="10"/>
      <c r="T373" s="10"/>
      <c r="U373" s="10"/>
    </row>
    <row r="374" spans="1:21" x14ac:dyDescent="0.25">
      <c r="A374" s="18"/>
      <c r="B374" s="18"/>
      <c r="C374" s="9">
        <f>IF(B374="","",IFERROR(VLOOKUP(B374,'01_Employes'!$A$6:$Q$30,4,FALSE),"⚠ ID inconnu"))</f>
      </c>
      <c r="D374" s="9">
        <f>IF(A374="","",TEXT(A374,"dddd"))</f>
      </c>
      <c r="E374" s="24">
        <f>IF(A374="","",IFERROR(INDEX('00_Parametres'!$C$7:$C$13,WEEKDAY(A374,2)),""))</f>
      </c>
      <c r="F374" s="24">
        <f>IF(A374="","",IFERROR(INDEX('00_Parametres'!$D$7:$D$13,WEEKDAY(A374,2)),""))</f>
      </c>
      <c r="G374" s="24">
        <f>IF(A374="","",IFERROR(INDEX('00_Parametres'!$E$7:$E$13,WEEKDAY(A374,2)),0))</f>
      </c>
      <c r="H374" s="11"/>
      <c r="I374" s="11"/>
      <c r="J374" s="11"/>
      <c r="K374" s="11"/>
      <c r="L374" s="12">
        <f>IF(OR(A374="",H374=""),"",IF(H374&lt;E374,IF(OR(J374="Oui",'00_Parametres'!$B$28="Oui"),H374,E374),H374))</f>
      </c>
      <c r="M374" s="12">
        <f>IF(OR(A374="",I374=""),"",IF(I374&gt;F374,IF(OR(K374="Oui",'00_Parametres'!$B$29="Oui"),I374,F374),I374))</f>
      </c>
      <c r="N374" s="25">
        <f>IF(OR(A374="",H374="",E374=""),0,MAX(0,ROUND((H374-E374)*1440,0)))</f>
      </c>
      <c r="O374" s="25">
        <f>IF(OR(A374="",I374="",F374=""),0,MAX(0,ROUND((F374-I374)*1440,0)))</f>
      </c>
      <c r="P374" s="12">
        <f>IF(OR(L374="",M374=""),0,MAX(0,ROUND((M374-L374)*24-G374,2)))</f>
      </c>
      <c r="Q374" s="12">
        <f>IF(P374=0,0,MIN(P374,'00_Parametres'!$B$23))</f>
      </c>
      <c r="R374" s="12">
        <f>IF(P374=0,0,MAX(0,P374-'00_Parametres'!$B$23))</f>
      </c>
      <c r="S374" s="10"/>
      <c r="T374" s="10"/>
      <c r="U374" s="10"/>
    </row>
    <row r="375" spans="1:21" x14ac:dyDescent="0.25">
      <c r="A375" s="18"/>
      <c r="B375" s="18"/>
      <c r="C375" s="9">
        <f>IF(B375="","",IFERROR(VLOOKUP(B375,'01_Employes'!$A$6:$Q$30,4,FALSE),"⚠ ID inconnu"))</f>
      </c>
      <c r="D375" s="9">
        <f>IF(A375="","",TEXT(A375,"dddd"))</f>
      </c>
      <c r="E375" s="24">
        <f>IF(A375="","",IFERROR(INDEX('00_Parametres'!$C$7:$C$13,WEEKDAY(A375,2)),""))</f>
      </c>
      <c r="F375" s="24">
        <f>IF(A375="","",IFERROR(INDEX('00_Parametres'!$D$7:$D$13,WEEKDAY(A375,2)),""))</f>
      </c>
      <c r="G375" s="24">
        <f>IF(A375="","",IFERROR(INDEX('00_Parametres'!$E$7:$E$13,WEEKDAY(A375,2)),0))</f>
      </c>
      <c r="H375" s="11"/>
      <c r="I375" s="11"/>
      <c r="J375" s="11"/>
      <c r="K375" s="11"/>
      <c r="L375" s="12">
        <f>IF(OR(A375="",H375=""),"",IF(H375&lt;E375,IF(OR(J375="Oui",'00_Parametres'!$B$28="Oui"),H375,E375),H375))</f>
      </c>
      <c r="M375" s="12">
        <f>IF(OR(A375="",I375=""),"",IF(I375&gt;F375,IF(OR(K375="Oui",'00_Parametres'!$B$29="Oui"),I375,F375),I375))</f>
      </c>
      <c r="N375" s="25">
        <f>IF(OR(A375="",H375="",E375=""),0,MAX(0,ROUND((H375-E375)*1440,0)))</f>
      </c>
      <c r="O375" s="25">
        <f>IF(OR(A375="",I375="",F375=""),0,MAX(0,ROUND((F375-I375)*1440,0)))</f>
      </c>
      <c r="P375" s="12">
        <f>IF(OR(L375="",M375=""),0,MAX(0,ROUND((M375-L375)*24-G375,2)))</f>
      </c>
      <c r="Q375" s="12">
        <f>IF(P375=0,0,MIN(P375,'00_Parametres'!$B$23))</f>
      </c>
      <c r="R375" s="12">
        <f>IF(P375=0,0,MAX(0,P375-'00_Parametres'!$B$23))</f>
      </c>
      <c r="S375" s="10"/>
      <c r="T375" s="10"/>
      <c r="U375" s="10"/>
    </row>
    <row r="376" spans="1:21" x14ac:dyDescent="0.25">
      <c r="A376" s="18"/>
      <c r="B376" s="18"/>
      <c r="C376" s="9">
        <f>IF(B376="","",IFERROR(VLOOKUP(B376,'01_Employes'!$A$6:$Q$30,4,FALSE),"⚠ ID inconnu"))</f>
      </c>
      <c r="D376" s="9">
        <f>IF(A376="","",TEXT(A376,"dddd"))</f>
      </c>
      <c r="E376" s="24">
        <f>IF(A376="","",IFERROR(INDEX('00_Parametres'!$C$7:$C$13,WEEKDAY(A376,2)),""))</f>
      </c>
      <c r="F376" s="24">
        <f>IF(A376="","",IFERROR(INDEX('00_Parametres'!$D$7:$D$13,WEEKDAY(A376,2)),""))</f>
      </c>
      <c r="G376" s="24">
        <f>IF(A376="","",IFERROR(INDEX('00_Parametres'!$E$7:$E$13,WEEKDAY(A376,2)),0))</f>
      </c>
      <c r="H376" s="11"/>
      <c r="I376" s="11"/>
      <c r="J376" s="11"/>
      <c r="K376" s="11"/>
      <c r="L376" s="12">
        <f>IF(OR(A376="",H376=""),"",IF(H376&lt;E376,IF(OR(J376="Oui",'00_Parametres'!$B$28="Oui"),H376,E376),H376))</f>
      </c>
      <c r="M376" s="12">
        <f>IF(OR(A376="",I376=""),"",IF(I376&gt;F376,IF(OR(K376="Oui",'00_Parametres'!$B$29="Oui"),I376,F376),I376))</f>
      </c>
      <c r="N376" s="25">
        <f>IF(OR(A376="",H376="",E376=""),0,MAX(0,ROUND((H376-E376)*1440,0)))</f>
      </c>
      <c r="O376" s="25">
        <f>IF(OR(A376="",I376="",F376=""),0,MAX(0,ROUND((F376-I376)*1440,0)))</f>
      </c>
      <c r="P376" s="12">
        <f>IF(OR(L376="",M376=""),0,MAX(0,ROUND((M376-L376)*24-G376,2)))</f>
      </c>
      <c r="Q376" s="12">
        <f>IF(P376=0,0,MIN(P376,'00_Parametres'!$B$23))</f>
      </c>
      <c r="R376" s="12">
        <f>IF(P376=0,0,MAX(0,P376-'00_Parametres'!$B$23))</f>
      </c>
      <c r="S376" s="10"/>
      <c r="T376" s="10"/>
      <c r="U376" s="10"/>
    </row>
    <row r="377" spans="1:21" x14ac:dyDescent="0.25">
      <c r="A377" s="18"/>
      <c r="B377" s="18"/>
      <c r="C377" s="9">
        <f>IF(B377="","",IFERROR(VLOOKUP(B377,'01_Employes'!$A$6:$Q$30,4,FALSE),"⚠ ID inconnu"))</f>
      </c>
      <c r="D377" s="9">
        <f>IF(A377="","",TEXT(A377,"dddd"))</f>
      </c>
      <c r="E377" s="24">
        <f>IF(A377="","",IFERROR(INDEX('00_Parametres'!$C$7:$C$13,WEEKDAY(A377,2)),""))</f>
      </c>
      <c r="F377" s="24">
        <f>IF(A377="","",IFERROR(INDEX('00_Parametres'!$D$7:$D$13,WEEKDAY(A377,2)),""))</f>
      </c>
      <c r="G377" s="24">
        <f>IF(A377="","",IFERROR(INDEX('00_Parametres'!$E$7:$E$13,WEEKDAY(A377,2)),0))</f>
      </c>
      <c r="H377" s="11"/>
      <c r="I377" s="11"/>
      <c r="J377" s="11"/>
      <c r="K377" s="11"/>
      <c r="L377" s="12">
        <f>IF(OR(A377="",H377=""),"",IF(H377&lt;E377,IF(OR(J377="Oui",'00_Parametres'!$B$28="Oui"),H377,E377),H377))</f>
      </c>
      <c r="M377" s="12">
        <f>IF(OR(A377="",I377=""),"",IF(I377&gt;F377,IF(OR(K377="Oui",'00_Parametres'!$B$29="Oui"),I377,F377),I377))</f>
      </c>
      <c r="N377" s="25">
        <f>IF(OR(A377="",H377="",E377=""),0,MAX(0,ROUND((H377-E377)*1440,0)))</f>
      </c>
      <c r="O377" s="25">
        <f>IF(OR(A377="",I377="",F377=""),0,MAX(0,ROUND((F377-I377)*1440,0)))</f>
      </c>
      <c r="P377" s="12">
        <f>IF(OR(L377="",M377=""),0,MAX(0,ROUND((M377-L377)*24-G377,2)))</f>
      </c>
      <c r="Q377" s="12">
        <f>IF(P377=0,0,MIN(P377,'00_Parametres'!$B$23))</f>
      </c>
      <c r="R377" s="12">
        <f>IF(P377=0,0,MAX(0,P377-'00_Parametres'!$B$23))</f>
      </c>
      <c r="S377" s="10"/>
      <c r="T377" s="10"/>
      <c r="U377" s="10"/>
    </row>
    <row r="378" spans="1:21" x14ac:dyDescent="0.25">
      <c r="A378" s="18"/>
      <c r="B378" s="18"/>
      <c r="C378" s="9">
        <f>IF(B378="","",IFERROR(VLOOKUP(B378,'01_Employes'!$A$6:$Q$30,4,FALSE),"⚠ ID inconnu"))</f>
      </c>
      <c r="D378" s="9">
        <f>IF(A378="","",TEXT(A378,"dddd"))</f>
      </c>
      <c r="E378" s="24">
        <f>IF(A378="","",IFERROR(INDEX('00_Parametres'!$C$7:$C$13,WEEKDAY(A378,2)),""))</f>
      </c>
      <c r="F378" s="24">
        <f>IF(A378="","",IFERROR(INDEX('00_Parametres'!$D$7:$D$13,WEEKDAY(A378,2)),""))</f>
      </c>
      <c r="G378" s="24">
        <f>IF(A378="","",IFERROR(INDEX('00_Parametres'!$E$7:$E$13,WEEKDAY(A378,2)),0))</f>
      </c>
      <c r="H378" s="11"/>
      <c r="I378" s="11"/>
      <c r="J378" s="11"/>
      <c r="K378" s="11"/>
      <c r="L378" s="12">
        <f>IF(OR(A378="",H378=""),"",IF(H378&lt;E378,IF(OR(J378="Oui",'00_Parametres'!$B$28="Oui"),H378,E378),H378))</f>
      </c>
      <c r="M378" s="12">
        <f>IF(OR(A378="",I378=""),"",IF(I378&gt;F378,IF(OR(K378="Oui",'00_Parametres'!$B$29="Oui"),I378,F378),I378))</f>
      </c>
      <c r="N378" s="25">
        <f>IF(OR(A378="",H378="",E378=""),0,MAX(0,ROUND((H378-E378)*1440,0)))</f>
      </c>
      <c r="O378" s="25">
        <f>IF(OR(A378="",I378="",F378=""),0,MAX(0,ROUND((F378-I378)*1440,0)))</f>
      </c>
      <c r="P378" s="12">
        <f>IF(OR(L378="",M378=""),0,MAX(0,ROUND((M378-L378)*24-G378,2)))</f>
      </c>
      <c r="Q378" s="12">
        <f>IF(P378=0,0,MIN(P378,'00_Parametres'!$B$23))</f>
      </c>
      <c r="R378" s="12">
        <f>IF(P378=0,0,MAX(0,P378-'00_Parametres'!$B$23))</f>
      </c>
      <c r="S378" s="10"/>
      <c r="T378" s="10"/>
      <c r="U378" s="10"/>
    </row>
    <row r="379" spans="1:21" x14ac:dyDescent="0.25">
      <c r="A379" s="18"/>
      <c r="B379" s="18"/>
      <c r="C379" s="9">
        <f>IF(B379="","",IFERROR(VLOOKUP(B379,'01_Employes'!$A$6:$Q$30,4,FALSE),"⚠ ID inconnu"))</f>
      </c>
      <c r="D379" s="9">
        <f>IF(A379="","",TEXT(A379,"dddd"))</f>
      </c>
      <c r="E379" s="24">
        <f>IF(A379="","",IFERROR(INDEX('00_Parametres'!$C$7:$C$13,WEEKDAY(A379,2)),""))</f>
      </c>
      <c r="F379" s="24">
        <f>IF(A379="","",IFERROR(INDEX('00_Parametres'!$D$7:$D$13,WEEKDAY(A379,2)),""))</f>
      </c>
      <c r="G379" s="24">
        <f>IF(A379="","",IFERROR(INDEX('00_Parametres'!$E$7:$E$13,WEEKDAY(A379,2)),0))</f>
      </c>
      <c r="H379" s="11"/>
      <c r="I379" s="11"/>
      <c r="J379" s="11"/>
      <c r="K379" s="11"/>
      <c r="L379" s="12">
        <f>IF(OR(A379="",H379=""),"",IF(H379&lt;E379,IF(OR(J379="Oui",'00_Parametres'!$B$28="Oui"),H379,E379),H379))</f>
      </c>
      <c r="M379" s="12">
        <f>IF(OR(A379="",I379=""),"",IF(I379&gt;F379,IF(OR(K379="Oui",'00_Parametres'!$B$29="Oui"),I379,F379),I379))</f>
      </c>
      <c r="N379" s="25">
        <f>IF(OR(A379="",H379="",E379=""),0,MAX(0,ROUND((H379-E379)*1440,0)))</f>
      </c>
      <c r="O379" s="25">
        <f>IF(OR(A379="",I379="",F379=""),0,MAX(0,ROUND((F379-I379)*1440,0)))</f>
      </c>
      <c r="P379" s="12">
        <f>IF(OR(L379="",M379=""),0,MAX(0,ROUND((M379-L379)*24-G379,2)))</f>
      </c>
      <c r="Q379" s="12">
        <f>IF(P379=0,0,MIN(P379,'00_Parametres'!$B$23))</f>
      </c>
      <c r="R379" s="12">
        <f>IF(P379=0,0,MAX(0,P379-'00_Parametres'!$B$23))</f>
      </c>
      <c r="S379" s="10"/>
      <c r="T379" s="10"/>
      <c r="U379" s="10"/>
    </row>
    <row r="380" spans="1:21" x14ac:dyDescent="0.25">
      <c r="A380" s="18"/>
      <c r="B380" s="18"/>
      <c r="C380" s="9">
        <f>IF(B380="","",IFERROR(VLOOKUP(B380,'01_Employes'!$A$6:$Q$30,4,FALSE),"⚠ ID inconnu"))</f>
      </c>
      <c r="D380" s="9">
        <f>IF(A380="","",TEXT(A380,"dddd"))</f>
      </c>
      <c r="E380" s="24">
        <f>IF(A380="","",IFERROR(INDEX('00_Parametres'!$C$7:$C$13,WEEKDAY(A380,2)),""))</f>
      </c>
      <c r="F380" s="24">
        <f>IF(A380="","",IFERROR(INDEX('00_Parametres'!$D$7:$D$13,WEEKDAY(A380,2)),""))</f>
      </c>
      <c r="G380" s="24">
        <f>IF(A380="","",IFERROR(INDEX('00_Parametres'!$E$7:$E$13,WEEKDAY(A380,2)),0))</f>
      </c>
      <c r="H380" s="11"/>
      <c r="I380" s="11"/>
      <c r="J380" s="11"/>
      <c r="K380" s="11"/>
      <c r="L380" s="12">
        <f>IF(OR(A380="",H380=""),"",IF(H380&lt;E380,IF(OR(J380="Oui",'00_Parametres'!$B$28="Oui"),H380,E380),H380))</f>
      </c>
      <c r="M380" s="12">
        <f>IF(OR(A380="",I380=""),"",IF(I380&gt;F380,IF(OR(K380="Oui",'00_Parametres'!$B$29="Oui"),I380,F380),I380))</f>
      </c>
      <c r="N380" s="25">
        <f>IF(OR(A380="",H380="",E380=""),0,MAX(0,ROUND((H380-E380)*1440,0)))</f>
      </c>
      <c r="O380" s="25">
        <f>IF(OR(A380="",I380="",F380=""),0,MAX(0,ROUND((F380-I380)*1440,0)))</f>
      </c>
      <c r="P380" s="12">
        <f>IF(OR(L380="",M380=""),0,MAX(0,ROUND((M380-L380)*24-G380,2)))</f>
      </c>
      <c r="Q380" s="12">
        <f>IF(P380=0,0,MIN(P380,'00_Parametres'!$B$23))</f>
      </c>
      <c r="R380" s="12">
        <f>IF(P380=0,0,MAX(0,P380-'00_Parametres'!$B$23))</f>
      </c>
      <c r="S380" s="10"/>
      <c r="T380" s="10"/>
      <c r="U380" s="10"/>
    </row>
    <row r="381" spans="1:21" x14ac:dyDescent="0.25">
      <c r="A381" s="18"/>
      <c r="B381" s="18"/>
      <c r="C381" s="9">
        <f>IF(B381="","",IFERROR(VLOOKUP(B381,'01_Employes'!$A$6:$Q$30,4,FALSE),"⚠ ID inconnu"))</f>
      </c>
      <c r="D381" s="9">
        <f>IF(A381="","",TEXT(A381,"dddd"))</f>
      </c>
      <c r="E381" s="24">
        <f>IF(A381="","",IFERROR(INDEX('00_Parametres'!$C$7:$C$13,WEEKDAY(A381,2)),""))</f>
      </c>
      <c r="F381" s="24">
        <f>IF(A381="","",IFERROR(INDEX('00_Parametres'!$D$7:$D$13,WEEKDAY(A381,2)),""))</f>
      </c>
      <c r="G381" s="24">
        <f>IF(A381="","",IFERROR(INDEX('00_Parametres'!$E$7:$E$13,WEEKDAY(A381,2)),0))</f>
      </c>
      <c r="H381" s="11"/>
      <c r="I381" s="11"/>
      <c r="J381" s="11"/>
      <c r="K381" s="11"/>
      <c r="L381" s="12">
        <f>IF(OR(A381="",H381=""),"",IF(H381&lt;E381,IF(OR(J381="Oui",'00_Parametres'!$B$28="Oui"),H381,E381),H381))</f>
      </c>
      <c r="M381" s="12">
        <f>IF(OR(A381="",I381=""),"",IF(I381&gt;F381,IF(OR(K381="Oui",'00_Parametres'!$B$29="Oui"),I381,F381),I381))</f>
      </c>
      <c r="N381" s="25">
        <f>IF(OR(A381="",H381="",E381=""),0,MAX(0,ROUND((H381-E381)*1440,0)))</f>
      </c>
      <c r="O381" s="25">
        <f>IF(OR(A381="",I381="",F381=""),0,MAX(0,ROUND((F381-I381)*1440,0)))</f>
      </c>
      <c r="P381" s="12">
        <f>IF(OR(L381="",M381=""),0,MAX(0,ROUND((M381-L381)*24-G381,2)))</f>
      </c>
      <c r="Q381" s="12">
        <f>IF(P381=0,0,MIN(P381,'00_Parametres'!$B$23))</f>
      </c>
      <c r="R381" s="12">
        <f>IF(P381=0,0,MAX(0,P381-'00_Parametres'!$B$23))</f>
      </c>
      <c r="S381" s="10"/>
      <c r="T381" s="10"/>
      <c r="U381" s="10"/>
    </row>
    <row r="382" spans="1:21" x14ac:dyDescent="0.25">
      <c r="A382" s="18"/>
      <c r="B382" s="18"/>
      <c r="C382" s="9">
        <f>IF(B382="","",IFERROR(VLOOKUP(B382,'01_Employes'!$A$6:$Q$30,4,FALSE),"⚠ ID inconnu"))</f>
      </c>
      <c r="D382" s="9">
        <f>IF(A382="","",TEXT(A382,"dddd"))</f>
      </c>
      <c r="E382" s="24">
        <f>IF(A382="","",IFERROR(INDEX('00_Parametres'!$C$7:$C$13,WEEKDAY(A382,2)),""))</f>
      </c>
      <c r="F382" s="24">
        <f>IF(A382="","",IFERROR(INDEX('00_Parametres'!$D$7:$D$13,WEEKDAY(A382,2)),""))</f>
      </c>
      <c r="G382" s="24">
        <f>IF(A382="","",IFERROR(INDEX('00_Parametres'!$E$7:$E$13,WEEKDAY(A382,2)),0))</f>
      </c>
      <c r="H382" s="11"/>
      <c r="I382" s="11"/>
      <c r="J382" s="11"/>
      <c r="K382" s="11"/>
      <c r="L382" s="12">
        <f>IF(OR(A382="",H382=""),"",IF(H382&lt;E382,IF(OR(J382="Oui",'00_Parametres'!$B$28="Oui"),H382,E382),H382))</f>
      </c>
      <c r="M382" s="12">
        <f>IF(OR(A382="",I382=""),"",IF(I382&gt;F382,IF(OR(K382="Oui",'00_Parametres'!$B$29="Oui"),I382,F382),I382))</f>
      </c>
      <c r="N382" s="25">
        <f>IF(OR(A382="",H382="",E382=""),0,MAX(0,ROUND((H382-E382)*1440,0)))</f>
      </c>
      <c r="O382" s="25">
        <f>IF(OR(A382="",I382="",F382=""),0,MAX(0,ROUND((F382-I382)*1440,0)))</f>
      </c>
      <c r="P382" s="12">
        <f>IF(OR(L382="",M382=""),0,MAX(0,ROUND((M382-L382)*24-G382,2)))</f>
      </c>
      <c r="Q382" s="12">
        <f>IF(P382=0,0,MIN(P382,'00_Parametres'!$B$23))</f>
      </c>
      <c r="R382" s="12">
        <f>IF(P382=0,0,MAX(0,P382-'00_Parametres'!$B$23))</f>
      </c>
      <c r="S382" s="10"/>
      <c r="T382" s="10"/>
      <c r="U382" s="10"/>
    </row>
    <row r="383" spans="1:21" x14ac:dyDescent="0.25">
      <c r="A383" s="18"/>
      <c r="B383" s="18"/>
      <c r="C383" s="9">
        <f>IF(B383="","",IFERROR(VLOOKUP(B383,'01_Employes'!$A$6:$Q$30,4,FALSE),"⚠ ID inconnu"))</f>
      </c>
      <c r="D383" s="9">
        <f>IF(A383="","",TEXT(A383,"dddd"))</f>
      </c>
      <c r="E383" s="24">
        <f>IF(A383="","",IFERROR(INDEX('00_Parametres'!$C$7:$C$13,WEEKDAY(A383,2)),""))</f>
      </c>
      <c r="F383" s="24">
        <f>IF(A383="","",IFERROR(INDEX('00_Parametres'!$D$7:$D$13,WEEKDAY(A383,2)),""))</f>
      </c>
      <c r="G383" s="24">
        <f>IF(A383="","",IFERROR(INDEX('00_Parametres'!$E$7:$E$13,WEEKDAY(A383,2)),0))</f>
      </c>
      <c r="H383" s="11"/>
      <c r="I383" s="11"/>
      <c r="J383" s="11"/>
      <c r="K383" s="11"/>
      <c r="L383" s="12">
        <f>IF(OR(A383="",H383=""),"",IF(H383&lt;E383,IF(OR(J383="Oui",'00_Parametres'!$B$28="Oui"),H383,E383),H383))</f>
      </c>
      <c r="M383" s="12">
        <f>IF(OR(A383="",I383=""),"",IF(I383&gt;F383,IF(OR(K383="Oui",'00_Parametres'!$B$29="Oui"),I383,F383),I383))</f>
      </c>
      <c r="N383" s="25">
        <f>IF(OR(A383="",H383="",E383=""),0,MAX(0,ROUND((H383-E383)*1440,0)))</f>
      </c>
      <c r="O383" s="25">
        <f>IF(OR(A383="",I383="",F383=""),0,MAX(0,ROUND((F383-I383)*1440,0)))</f>
      </c>
      <c r="P383" s="12">
        <f>IF(OR(L383="",M383=""),0,MAX(0,ROUND((M383-L383)*24-G383,2)))</f>
      </c>
      <c r="Q383" s="12">
        <f>IF(P383=0,0,MIN(P383,'00_Parametres'!$B$23))</f>
      </c>
      <c r="R383" s="12">
        <f>IF(P383=0,0,MAX(0,P383-'00_Parametres'!$B$23))</f>
      </c>
      <c r="S383" s="10"/>
      <c r="T383" s="10"/>
      <c r="U383" s="10"/>
    </row>
    <row r="384" spans="1:21" x14ac:dyDescent="0.25">
      <c r="A384" s="18"/>
      <c r="B384" s="18"/>
      <c r="C384" s="9">
        <f>IF(B384="","",IFERROR(VLOOKUP(B384,'01_Employes'!$A$6:$Q$30,4,FALSE),"⚠ ID inconnu"))</f>
      </c>
      <c r="D384" s="9">
        <f>IF(A384="","",TEXT(A384,"dddd"))</f>
      </c>
      <c r="E384" s="24">
        <f>IF(A384="","",IFERROR(INDEX('00_Parametres'!$C$7:$C$13,WEEKDAY(A384,2)),""))</f>
      </c>
      <c r="F384" s="24">
        <f>IF(A384="","",IFERROR(INDEX('00_Parametres'!$D$7:$D$13,WEEKDAY(A384,2)),""))</f>
      </c>
      <c r="G384" s="24">
        <f>IF(A384="","",IFERROR(INDEX('00_Parametres'!$E$7:$E$13,WEEKDAY(A384,2)),0))</f>
      </c>
      <c r="H384" s="11"/>
      <c r="I384" s="11"/>
      <c r="J384" s="11"/>
      <c r="K384" s="11"/>
      <c r="L384" s="12">
        <f>IF(OR(A384="",H384=""),"",IF(H384&lt;E384,IF(OR(J384="Oui",'00_Parametres'!$B$28="Oui"),H384,E384),H384))</f>
      </c>
      <c r="M384" s="12">
        <f>IF(OR(A384="",I384=""),"",IF(I384&gt;F384,IF(OR(K384="Oui",'00_Parametres'!$B$29="Oui"),I384,F384),I384))</f>
      </c>
      <c r="N384" s="25">
        <f>IF(OR(A384="",H384="",E384=""),0,MAX(0,ROUND((H384-E384)*1440,0)))</f>
      </c>
      <c r="O384" s="25">
        <f>IF(OR(A384="",I384="",F384=""),0,MAX(0,ROUND((F384-I384)*1440,0)))</f>
      </c>
      <c r="P384" s="12">
        <f>IF(OR(L384="",M384=""),0,MAX(0,ROUND((M384-L384)*24-G384,2)))</f>
      </c>
      <c r="Q384" s="12">
        <f>IF(P384=0,0,MIN(P384,'00_Parametres'!$B$23))</f>
      </c>
      <c r="R384" s="12">
        <f>IF(P384=0,0,MAX(0,P384-'00_Parametres'!$B$23))</f>
      </c>
      <c r="S384" s="10"/>
      <c r="T384" s="10"/>
      <c r="U384" s="10"/>
    </row>
    <row r="385" spans="1:21" x14ac:dyDescent="0.25">
      <c r="A385" s="18"/>
      <c r="B385" s="18"/>
      <c r="C385" s="9">
        <f>IF(B385="","",IFERROR(VLOOKUP(B385,'01_Employes'!$A$6:$Q$30,4,FALSE),"⚠ ID inconnu"))</f>
      </c>
      <c r="D385" s="9">
        <f>IF(A385="","",TEXT(A385,"dddd"))</f>
      </c>
      <c r="E385" s="24">
        <f>IF(A385="","",IFERROR(INDEX('00_Parametres'!$C$7:$C$13,WEEKDAY(A385,2)),""))</f>
      </c>
      <c r="F385" s="24">
        <f>IF(A385="","",IFERROR(INDEX('00_Parametres'!$D$7:$D$13,WEEKDAY(A385,2)),""))</f>
      </c>
      <c r="G385" s="24">
        <f>IF(A385="","",IFERROR(INDEX('00_Parametres'!$E$7:$E$13,WEEKDAY(A385,2)),0))</f>
      </c>
      <c r="H385" s="11"/>
      <c r="I385" s="11"/>
      <c r="J385" s="11"/>
      <c r="K385" s="11"/>
      <c r="L385" s="12">
        <f>IF(OR(A385="",H385=""),"",IF(H385&lt;E385,IF(OR(J385="Oui",'00_Parametres'!$B$28="Oui"),H385,E385),H385))</f>
      </c>
      <c r="M385" s="12">
        <f>IF(OR(A385="",I385=""),"",IF(I385&gt;F385,IF(OR(K385="Oui",'00_Parametres'!$B$29="Oui"),I385,F385),I385))</f>
      </c>
      <c r="N385" s="25">
        <f>IF(OR(A385="",H385="",E385=""),0,MAX(0,ROUND((H385-E385)*1440,0)))</f>
      </c>
      <c r="O385" s="25">
        <f>IF(OR(A385="",I385="",F385=""),0,MAX(0,ROUND((F385-I385)*1440,0)))</f>
      </c>
      <c r="P385" s="12">
        <f>IF(OR(L385="",M385=""),0,MAX(0,ROUND((M385-L385)*24-G385,2)))</f>
      </c>
      <c r="Q385" s="12">
        <f>IF(P385=0,0,MIN(P385,'00_Parametres'!$B$23))</f>
      </c>
      <c r="R385" s="12">
        <f>IF(P385=0,0,MAX(0,P385-'00_Parametres'!$B$23))</f>
      </c>
      <c r="S385" s="10"/>
      <c r="T385" s="10"/>
      <c r="U385" s="10"/>
    </row>
    <row r="386" spans="1:21" x14ac:dyDescent="0.25">
      <c r="A386" s="18"/>
      <c r="B386" s="18"/>
      <c r="C386" s="9">
        <f>IF(B386="","",IFERROR(VLOOKUP(B386,'01_Employes'!$A$6:$Q$30,4,FALSE),"⚠ ID inconnu"))</f>
      </c>
      <c r="D386" s="9">
        <f>IF(A386="","",TEXT(A386,"dddd"))</f>
      </c>
      <c r="E386" s="24">
        <f>IF(A386="","",IFERROR(INDEX('00_Parametres'!$C$7:$C$13,WEEKDAY(A386,2)),""))</f>
      </c>
      <c r="F386" s="24">
        <f>IF(A386="","",IFERROR(INDEX('00_Parametres'!$D$7:$D$13,WEEKDAY(A386,2)),""))</f>
      </c>
      <c r="G386" s="24">
        <f>IF(A386="","",IFERROR(INDEX('00_Parametres'!$E$7:$E$13,WEEKDAY(A386,2)),0))</f>
      </c>
      <c r="H386" s="11"/>
      <c r="I386" s="11"/>
      <c r="J386" s="11"/>
      <c r="K386" s="11"/>
      <c r="L386" s="12">
        <f>IF(OR(A386="",H386=""),"",IF(H386&lt;E386,IF(OR(J386="Oui",'00_Parametres'!$B$28="Oui"),H386,E386),H386))</f>
      </c>
      <c r="M386" s="12">
        <f>IF(OR(A386="",I386=""),"",IF(I386&gt;F386,IF(OR(K386="Oui",'00_Parametres'!$B$29="Oui"),I386,F386),I386))</f>
      </c>
      <c r="N386" s="25">
        <f>IF(OR(A386="",H386="",E386=""),0,MAX(0,ROUND((H386-E386)*1440,0)))</f>
      </c>
      <c r="O386" s="25">
        <f>IF(OR(A386="",I386="",F386=""),0,MAX(0,ROUND((F386-I386)*1440,0)))</f>
      </c>
      <c r="P386" s="12">
        <f>IF(OR(L386="",M386=""),0,MAX(0,ROUND((M386-L386)*24-G386,2)))</f>
      </c>
      <c r="Q386" s="12">
        <f>IF(P386=0,0,MIN(P386,'00_Parametres'!$B$23))</f>
      </c>
      <c r="R386" s="12">
        <f>IF(P386=0,0,MAX(0,P386-'00_Parametres'!$B$23))</f>
      </c>
      <c r="S386" s="10"/>
      <c r="T386" s="10"/>
      <c r="U386" s="10"/>
    </row>
    <row r="387" spans="1:21" x14ac:dyDescent="0.25">
      <c r="A387" s="18"/>
      <c r="B387" s="18"/>
      <c r="C387" s="9">
        <f>IF(B387="","",IFERROR(VLOOKUP(B387,'01_Employes'!$A$6:$Q$30,4,FALSE),"⚠ ID inconnu"))</f>
      </c>
      <c r="D387" s="9">
        <f>IF(A387="","",TEXT(A387,"dddd"))</f>
      </c>
      <c r="E387" s="24">
        <f>IF(A387="","",IFERROR(INDEX('00_Parametres'!$C$7:$C$13,WEEKDAY(A387,2)),""))</f>
      </c>
      <c r="F387" s="24">
        <f>IF(A387="","",IFERROR(INDEX('00_Parametres'!$D$7:$D$13,WEEKDAY(A387,2)),""))</f>
      </c>
      <c r="G387" s="24">
        <f>IF(A387="","",IFERROR(INDEX('00_Parametres'!$E$7:$E$13,WEEKDAY(A387,2)),0))</f>
      </c>
      <c r="H387" s="11"/>
      <c r="I387" s="11"/>
      <c r="J387" s="11"/>
      <c r="K387" s="11"/>
      <c r="L387" s="12">
        <f>IF(OR(A387="",H387=""),"",IF(H387&lt;E387,IF(OR(J387="Oui",'00_Parametres'!$B$28="Oui"),H387,E387),H387))</f>
      </c>
      <c r="M387" s="12">
        <f>IF(OR(A387="",I387=""),"",IF(I387&gt;F387,IF(OR(K387="Oui",'00_Parametres'!$B$29="Oui"),I387,F387),I387))</f>
      </c>
      <c r="N387" s="25">
        <f>IF(OR(A387="",H387="",E387=""),0,MAX(0,ROUND((H387-E387)*1440,0)))</f>
      </c>
      <c r="O387" s="25">
        <f>IF(OR(A387="",I387="",F387=""),0,MAX(0,ROUND((F387-I387)*1440,0)))</f>
      </c>
      <c r="P387" s="12">
        <f>IF(OR(L387="",M387=""),0,MAX(0,ROUND((M387-L387)*24-G387,2)))</f>
      </c>
      <c r="Q387" s="12">
        <f>IF(P387=0,0,MIN(P387,'00_Parametres'!$B$23))</f>
      </c>
      <c r="R387" s="12">
        <f>IF(P387=0,0,MAX(0,P387-'00_Parametres'!$B$23))</f>
      </c>
      <c r="S387" s="10"/>
      <c r="T387" s="10"/>
      <c r="U387" s="10"/>
    </row>
    <row r="388" spans="1:21" x14ac:dyDescent="0.25">
      <c r="A388" s="18"/>
      <c r="B388" s="18"/>
      <c r="C388" s="9">
        <f>IF(B388="","",IFERROR(VLOOKUP(B388,'01_Employes'!$A$6:$Q$30,4,FALSE),"⚠ ID inconnu"))</f>
      </c>
      <c r="D388" s="9">
        <f>IF(A388="","",TEXT(A388,"dddd"))</f>
      </c>
      <c r="E388" s="24">
        <f>IF(A388="","",IFERROR(INDEX('00_Parametres'!$C$7:$C$13,WEEKDAY(A388,2)),""))</f>
      </c>
      <c r="F388" s="24">
        <f>IF(A388="","",IFERROR(INDEX('00_Parametres'!$D$7:$D$13,WEEKDAY(A388,2)),""))</f>
      </c>
      <c r="G388" s="24">
        <f>IF(A388="","",IFERROR(INDEX('00_Parametres'!$E$7:$E$13,WEEKDAY(A388,2)),0))</f>
      </c>
      <c r="H388" s="11"/>
      <c r="I388" s="11"/>
      <c r="J388" s="11"/>
      <c r="K388" s="11"/>
      <c r="L388" s="12">
        <f>IF(OR(A388="",H388=""),"",IF(H388&lt;E388,IF(OR(J388="Oui",'00_Parametres'!$B$28="Oui"),H388,E388),H388))</f>
      </c>
      <c r="M388" s="12">
        <f>IF(OR(A388="",I388=""),"",IF(I388&gt;F388,IF(OR(K388="Oui",'00_Parametres'!$B$29="Oui"),I388,F388),I388))</f>
      </c>
      <c r="N388" s="25">
        <f>IF(OR(A388="",H388="",E388=""),0,MAX(0,ROUND((H388-E388)*1440,0)))</f>
      </c>
      <c r="O388" s="25">
        <f>IF(OR(A388="",I388="",F388=""),0,MAX(0,ROUND((F388-I388)*1440,0)))</f>
      </c>
      <c r="P388" s="12">
        <f>IF(OR(L388="",M388=""),0,MAX(0,ROUND((M388-L388)*24-G388,2)))</f>
      </c>
      <c r="Q388" s="12">
        <f>IF(P388=0,0,MIN(P388,'00_Parametres'!$B$23))</f>
      </c>
      <c r="R388" s="12">
        <f>IF(P388=0,0,MAX(0,P388-'00_Parametres'!$B$23))</f>
      </c>
      <c r="S388" s="10"/>
      <c r="T388" s="10"/>
      <c r="U388" s="10"/>
    </row>
    <row r="389" spans="1:21" x14ac:dyDescent="0.25">
      <c r="A389" s="18"/>
      <c r="B389" s="18"/>
      <c r="C389" s="9">
        <f>IF(B389="","",IFERROR(VLOOKUP(B389,'01_Employes'!$A$6:$Q$30,4,FALSE),"⚠ ID inconnu"))</f>
      </c>
      <c r="D389" s="9">
        <f>IF(A389="","",TEXT(A389,"dddd"))</f>
      </c>
      <c r="E389" s="24">
        <f>IF(A389="","",IFERROR(INDEX('00_Parametres'!$C$7:$C$13,WEEKDAY(A389,2)),""))</f>
      </c>
      <c r="F389" s="24">
        <f>IF(A389="","",IFERROR(INDEX('00_Parametres'!$D$7:$D$13,WEEKDAY(A389,2)),""))</f>
      </c>
      <c r="G389" s="24">
        <f>IF(A389="","",IFERROR(INDEX('00_Parametres'!$E$7:$E$13,WEEKDAY(A389,2)),0))</f>
      </c>
      <c r="H389" s="11"/>
      <c r="I389" s="11"/>
      <c r="J389" s="11"/>
      <c r="K389" s="11"/>
      <c r="L389" s="12">
        <f>IF(OR(A389="",H389=""),"",IF(H389&lt;E389,IF(OR(J389="Oui",'00_Parametres'!$B$28="Oui"),H389,E389),H389))</f>
      </c>
      <c r="M389" s="12">
        <f>IF(OR(A389="",I389=""),"",IF(I389&gt;F389,IF(OR(K389="Oui",'00_Parametres'!$B$29="Oui"),I389,F389),I389))</f>
      </c>
      <c r="N389" s="25">
        <f>IF(OR(A389="",H389="",E389=""),0,MAX(0,ROUND((H389-E389)*1440,0)))</f>
      </c>
      <c r="O389" s="25">
        <f>IF(OR(A389="",I389="",F389=""),0,MAX(0,ROUND((F389-I389)*1440,0)))</f>
      </c>
      <c r="P389" s="12">
        <f>IF(OR(L389="",M389=""),0,MAX(0,ROUND((M389-L389)*24-G389,2)))</f>
      </c>
      <c r="Q389" s="12">
        <f>IF(P389=0,0,MIN(P389,'00_Parametres'!$B$23))</f>
      </c>
      <c r="R389" s="12">
        <f>IF(P389=0,0,MAX(0,P389-'00_Parametres'!$B$23))</f>
      </c>
      <c r="S389" s="10"/>
      <c r="T389" s="10"/>
      <c r="U389" s="10"/>
    </row>
    <row r="390" spans="1:21" x14ac:dyDescent="0.25">
      <c r="A390" s="18"/>
      <c r="B390" s="18"/>
      <c r="C390" s="9">
        <f>IF(B390="","",IFERROR(VLOOKUP(B390,'01_Employes'!$A$6:$Q$30,4,FALSE),"⚠ ID inconnu"))</f>
      </c>
      <c r="D390" s="9">
        <f>IF(A390="","",TEXT(A390,"dddd"))</f>
      </c>
      <c r="E390" s="24">
        <f>IF(A390="","",IFERROR(INDEX('00_Parametres'!$C$7:$C$13,WEEKDAY(A390,2)),""))</f>
      </c>
      <c r="F390" s="24">
        <f>IF(A390="","",IFERROR(INDEX('00_Parametres'!$D$7:$D$13,WEEKDAY(A390,2)),""))</f>
      </c>
      <c r="G390" s="24">
        <f>IF(A390="","",IFERROR(INDEX('00_Parametres'!$E$7:$E$13,WEEKDAY(A390,2)),0))</f>
      </c>
      <c r="H390" s="11"/>
      <c r="I390" s="11"/>
      <c r="J390" s="11"/>
      <c r="K390" s="11"/>
      <c r="L390" s="12">
        <f>IF(OR(A390="",H390=""),"",IF(H390&lt;E390,IF(OR(J390="Oui",'00_Parametres'!$B$28="Oui"),H390,E390),H390))</f>
      </c>
      <c r="M390" s="12">
        <f>IF(OR(A390="",I390=""),"",IF(I390&gt;F390,IF(OR(K390="Oui",'00_Parametres'!$B$29="Oui"),I390,F390),I390))</f>
      </c>
      <c r="N390" s="25">
        <f>IF(OR(A390="",H390="",E390=""),0,MAX(0,ROUND((H390-E390)*1440,0)))</f>
      </c>
      <c r="O390" s="25">
        <f>IF(OR(A390="",I390="",F390=""),0,MAX(0,ROUND((F390-I390)*1440,0)))</f>
      </c>
      <c r="P390" s="12">
        <f>IF(OR(L390="",M390=""),0,MAX(0,ROUND((M390-L390)*24-G390,2)))</f>
      </c>
      <c r="Q390" s="12">
        <f>IF(P390=0,0,MIN(P390,'00_Parametres'!$B$23))</f>
      </c>
      <c r="R390" s="12">
        <f>IF(P390=0,0,MAX(0,P390-'00_Parametres'!$B$23))</f>
      </c>
      <c r="S390" s="10"/>
      <c r="T390" s="10"/>
      <c r="U390" s="10"/>
    </row>
    <row r="391" spans="1:21" x14ac:dyDescent="0.25">
      <c r="A391" s="18"/>
      <c r="B391" s="18"/>
      <c r="C391" s="9">
        <f>IF(B391="","",IFERROR(VLOOKUP(B391,'01_Employes'!$A$6:$Q$30,4,FALSE),"⚠ ID inconnu"))</f>
      </c>
      <c r="D391" s="9">
        <f>IF(A391="","",TEXT(A391,"dddd"))</f>
      </c>
      <c r="E391" s="24">
        <f>IF(A391="","",IFERROR(INDEX('00_Parametres'!$C$7:$C$13,WEEKDAY(A391,2)),""))</f>
      </c>
      <c r="F391" s="24">
        <f>IF(A391="","",IFERROR(INDEX('00_Parametres'!$D$7:$D$13,WEEKDAY(A391,2)),""))</f>
      </c>
      <c r="G391" s="24">
        <f>IF(A391="","",IFERROR(INDEX('00_Parametres'!$E$7:$E$13,WEEKDAY(A391,2)),0))</f>
      </c>
      <c r="H391" s="11"/>
      <c r="I391" s="11"/>
      <c r="J391" s="11"/>
      <c r="K391" s="11"/>
      <c r="L391" s="12">
        <f>IF(OR(A391="",H391=""),"",IF(H391&lt;E391,IF(OR(J391="Oui",'00_Parametres'!$B$28="Oui"),H391,E391),H391))</f>
      </c>
      <c r="M391" s="12">
        <f>IF(OR(A391="",I391=""),"",IF(I391&gt;F391,IF(OR(K391="Oui",'00_Parametres'!$B$29="Oui"),I391,F391),I391))</f>
      </c>
      <c r="N391" s="25">
        <f>IF(OR(A391="",H391="",E391=""),0,MAX(0,ROUND((H391-E391)*1440,0)))</f>
      </c>
      <c r="O391" s="25">
        <f>IF(OR(A391="",I391="",F391=""),0,MAX(0,ROUND((F391-I391)*1440,0)))</f>
      </c>
      <c r="P391" s="12">
        <f>IF(OR(L391="",M391=""),0,MAX(0,ROUND((M391-L391)*24-G391,2)))</f>
      </c>
      <c r="Q391" s="12">
        <f>IF(P391=0,0,MIN(P391,'00_Parametres'!$B$23))</f>
      </c>
      <c r="R391" s="12">
        <f>IF(P391=0,0,MAX(0,P391-'00_Parametres'!$B$23))</f>
      </c>
      <c r="S391" s="10"/>
      <c r="T391" s="10"/>
      <c r="U391" s="10"/>
    </row>
    <row r="392" spans="1:21" x14ac:dyDescent="0.25">
      <c r="A392" s="18"/>
      <c r="B392" s="18"/>
      <c r="C392" s="9">
        <f>IF(B392="","",IFERROR(VLOOKUP(B392,'01_Employes'!$A$6:$Q$30,4,FALSE),"⚠ ID inconnu"))</f>
      </c>
      <c r="D392" s="9">
        <f>IF(A392="","",TEXT(A392,"dddd"))</f>
      </c>
      <c r="E392" s="24">
        <f>IF(A392="","",IFERROR(INDEX('00_Parametres'!$C$7:$C$13,WEEKDAY(A392,2)),""))</f>
      </c>
      <c r="F392" s="24">
        <f>IF(A392="","",IFERROR(INDEX('00_Parametres'!$D$7:$D$13,WEEKDAY(A392,2)),""))</f>
      </c>
      <c r="G392" s="24">
        <f>IF(A392="","",IFERROR(INDEX('00_Parametres'!$E$7:$E$13,WEEKDAY(A392,2)),0))</f>
      </c>
      <c r="H392" s="11"/>
      <c r="I392" s="11"/>
      <c r="J392" s="11"/>
      <c r="K392" s="11"/>
      <c r="L392" s="12">
        <f>IF(OR(A392="",H392=""),"",IF(H392&lt;E392,IF(OR(J392="Oui",'00_Parametres'!$B$28="Oui"),H392,E392),H392))</f>
      </c>
      <c r="M392" s="12">
        <f>IF(OR(A392="",I392=""),"",IF(I392&gt;F392,IF(OR(K392="Oui",'00_Parametres'!$B$29="Oui"),I392,F392),I392))</f>
      </c>
      <c r="N392" s="25">
        <f>IF(OR(A392="",H392="",E392=""),0,MAX(0,ROUND((H392-E392)*1440,0)))</f>
      </c>
      <c r="O392" s="25">
        <f>IF(OR(A392="",I392="",F392=""),0,MAX(0,ROUND((F392-I392)*1440,0)))</f>
      </c>
      <c r="P392" s="12">
        <f>IF(OR(L392="",M392=""),0,MAX(0,ROUND((M392-L392)*24-G392,2)))</f>
      </c>
      <c r="Q392" s="12">
        <f>IF(P392=0,0,MIN(P392,'00_Parametres'!$B$23))</f>
      </c>
      <c r="R392" s="12">
        <f>IF(P392=0,0,MAX(0,P392-'00_Parametres'!$B$23))</f>
      </c>
      <c r="S392" s="10"/>
      <c r="T392" s="10"/>
      <c r="U392" s="10"/>
    </row>
    <row r="393" spans="1:21" x14ac:dyDescent="0.25">
      <c r="A393" s="18"/>
      <c r="B393" s="18"/>
      <c r="C393" s="9">
        <f>IF(B393="","",IFERROR(VLOOKUP(B393,'01_Employes'!$A$6:$Q$30,4,FALSE),"⚠ ID inconnu"))</f>
      </c>
      <c r="D393" s="9">
        <f>IF(A393="","",TEXT(A393,"dddd"))</f>
      </c>
      <c r="E393" s="24">
        <f>IF(A393="","",IFERROR(INDEX('00_Parametres'!$C$7:$C$13,WEEKDAY(A393,2)),""))</f>
      </c>
      <c r="F393" s="24">
        <f>IF(A393="","",IFERROR(INDEX('00_Parametres'!$D$7:$D$13,WEEKDAY(A393,2)),""))</f>
      </c>
      <c r="G393" s="24">
        <f>IF(A393="","",IFERROR(INDEX('00_Parametres'!$E$7:$E$13,WEEKDAY(A393,2)),0))</f>
      </c>
      <c r="H393" s="11"/>
      <c r="I393" s="11"/>
      <c r="J393" s="11"/>
      <c r="K393" s="11"/>
      <c r="L393" s="12">
        <f>IF(OR(A393="",H393=""),"",IF(H393&lt;E393,IF(OR(J393="Oui",'00_Parametres'!$B$28="Oui"),H393,E393),H393))</f>
      </c>
      <c r="M393" s="12">
        <f>IF(OR(A393="",I393=""),"",IF(I393&gt;F393,IF(OR(K393="Oui",'00_Parametres'!$B$29="Oui"),I393,F393),I393))</f>
      </c>
      <c r="N393" s="25">
        <f>IF(OR(A393="",H393="",E393=""),0,MAX(0,ROUND((H393-E393)*1440,0)))</f>
      </c>
      <c r="O393" s="25">
        <f>IF(OR(A393="",I393="",F393=""),0,MAX(0,ROUND((F393-I393)*1440,0)))</f>
      </c>
      <c r="P393" s="12">
        <f>IF(OR(L393="",M393=""),0,MAX(0,ROUND((M393-L393)*24-G393,2)))</f>
      </c>
      <c r="Q393" s="12">
        <f>IF(P393=0,0,MIN(P393,'00_Parametres'!$B$23))</f>
      </c>
      <c r="R393" s="12">
        <f>IF(P393=0,0,MAX(0,P393-'00_Parametres'!$B$23))</f>
      </c>
      <c r="S393" s="10"/>
      <c r="T393" s="10"/>
      <c r="U393" s="10"/>
    </row>
    <row r="394" spans="1:21" x14ac:dyDescent="0.25">
      <c r="A394" s="18"/>
      <c r="B394" s="18"/>
      <c r="C394" s="9">
        <f>IF(B394="","",IFERROR(VLOOKUP(B394,'01_Employes'!$A$6:$Q$30,4,FALSE),"⚠ ID inconnu"))</f>
      </c>
      <c r="D394" s="9">
        <f>IF(A394="","",TEXT(A394,"dddd"))</f>
      </c>
      <c r="E394" s="24">
        <f>IF(A394="","",IFERROR(INDEX('00_Parametres'!$C$7:$C$13,WEEKDAY(A394,2)),""))</f>
      </c>
      <c r="F394" s="24">
        <f>IF(A394="","",IFERROR(INDEX('00_Parametres'!$D$7:$D$13,WEEKDAY(A394,2)),""))</f>
      </c>
      <c r="G394" s="24">
        <f>IF(A394="","",IFERROR(INDEX('00_Parametres'!$E$7:$E$13,WEEKDAY(A394,2)),0))</f>
      </c>
      <c r="H394" s="11"/>
      <c r="I394" s="11"/>
      <c r="J394" s="11"/>
      <c r="K394" s="11"/>
      <c r="L394" s="12">
        <f>IF(OR(A394="",H394=""),"",IF(H394&lt;E394,IF(OR(J394="Oui",'00_Parametres'!$B$28="Oui"),H394,E394),H394))</f>
      </c>
      <c r="M394" s="12">
        <f>IF(OR(A394="",I394=""),"",IF(I394&gt;F394,IF(OR(K394="Oui",'00_Parametres'!$B$29="Oui"),I394,F394),I394))</f>
      </c>
      <c r="N394" s="25">
        <f>IF(OR(A394="",H394="",E394=""),0,MAX(0,ROUND((H394-E394)*1440,0)))</f>
      </c>
      <c r="O394" s="25">
        <f>IF(OR(A394="",I394="",F394=""),0,MAX(0,ROUND((F394-I394)*1440,0)))</f>
      </c>
      <c r="P394" s="12">
        <f>IF(OR(L394="",M394=""),0,MAX(0,ROUND((M394-L394)*24-G394,2)))</f>
      </c>
      <c r="Q394" s="12">
        <f>IF(P394=0,0,MIN(P394,'00_Parametres'!$B$23))</f>
      </c>
      <c r="R394" s="12">
        <f>IF(P394=0,0,MAX(0,P394-'00_Parametres'!$B$23))</f>
      </c>
      <c r="S394" s="10"/>
      <c r="T394" s="10"/>
      <c r="U394" s="10"/>
    </row>
    <row r="395" spans="1:21" x14ac:dyDescent="0.25">
      <c r="A395" s="18"/>
      <c r="B395" s="18"/>
      <c r="C395" s="9">
        <f>IF(B395="","",IFERROR(VLOOKUP(B395,'01_Employes'!$A$6:$Q$30,4,FALSE),"⚠ ID inconnu"))</f>
      </c>
      <c r="D395" s="9">
        <f>IF(A395="","",TEXT(A395,"dddd"))</f>
      </c>
      <c r="E395" s="24">
        <f>IF(A395="","",IFERROR(INDEX('00_Parametres'!$C$7:$C$13,WEEKDAY(A395,2)),""))</f>
      </c>
      <c r="F395" s="24">
        <f>IF(A395="","",IFERROR(INDEX('00_Parametres'!$D$7:$D$13,WEEKDAY(A395,2)),""))</f>
      </c>
      <c r="G395" s="24">
        <f>IF(A395="","",IFERROR(INDEX('00_Parametres'!$E$7:$E$13,WEEKDAY(A395,2)),0))</f>
      </c>
      <c r="H395" s="11"/>
      <c r="I395" s="11"/>
      <c r="J395" s="11"/>
      <c r="K395" s="11"/>
      <c r="L395" s="12">
        <f>IF(OR(A395="",H395=""),"",IF(H395&lt;E395,IF(OR(J395="Oui",'00_Parametres'!$B$28="Oui"),H395,E395),H395))</f>
      </c>
      <c r="M395" s="12">
        <f>IF(OR(A395="",I395=""),"",IF(I395&gt;F395,IF(OR(K395="Oui",'00_Parametres'!$B$29="Oui"),I395,F395),I395))</f>
      </c>
      <c r="N395" s="25">
        <f>IF(OR(A395="",H395="",E395=""),0,MAX(0,ROUND((H395-E395)*1440,0)))</f>
      </c>
      <c r="O395" s="25">
        <f>IF(OR(A395="",I395="",F395=""),0,MAX(0,ROUND((F395-I395)*1440,0)))</f>
      </c>
      <c r="P395" s="12">
        <f>IF(OR(L395="",M395=""),0,MAX(0,ROUND((M395-L395)*24-G395,2)))</f>
      </c>
      <c r="Q395" s="12">
        <f>IF(P395=0,0,MIN(P395,'00_Parametres'!$B$23))</f>
      </c>
      <c r="R395" s="12">
        <f>IF(P395=0,0,MAX(0,P395-'00_Parametres'!$B$23))</f>
      </c>
      <c r="S395" s="10"/>
      <c r="T395" s="10"/>
      <c r="U395" s="10"/>
    </row>
    <row r="396" spans="1:21" x14ac:dyDescent="0.25">
      <c r="A396" s="18"/>
      <c r="B396" s="18"/>
      <c r="C396" s="9">
        <f>IF(B396="","",IFERROR(VLOOKUP(B396,'01_Employes'!$A$6:$Q$30,4,FALSE),"⚠ ID inconnu"))</f>
      </c>
      <c r="D396" s="9">
        <f>IF(A396="","",TEXT(A396,"dddd"))</f>
      </c>
      <c r="E396" s="24">
        <f>IF(A396="","",IFERROR(INDEX('00_Parametres'!$C$7:$C$13,WEEKDAY(A396,2)),""))</f>
      </c>
      <c r="F396" s="24">
        <f>IF(A396="","",IFERROR(INDEX('00_Parametres'!$D$7:$D$13,WEEKDAY(A396,2)),""))</f>
      </c>
      <c r="G396" s="24">
        <f>IF(A396="","",IFERROR(INDEX('00_Parametres'!$E$7:$E$13,WEEKDAY(A396,2)),0))</f>
      </c>
      <c r="H396" s="11"/>
      <c r="I396" s="11"/>
      <c r="J396" s="11"/>
      <c r="K396" s="11"/>
      <c r="L396" s="12">
        <f>IF(OR(A396="",H396=""),"",IF(H396&lt;E396,IF(OR(J396="Oui",'00_Parametres'!$B$28="Oui"),H396,E396),H396))</f>
      </c>
      <c r="M396" s="12">
        <f>IF(OR(A396="",I396=""),"",IF(I396&gt;F396,IF(OR(K396="Oui",'00_Parametres'!$B$29="Oui"),I396,F396),I396))</f>
      </c>
      <c r="N396" s="25">
        <f>IF(OR(A396="",H396="",E396=""),0,MAX(0,ROUND((H396-E396)*1440,0)))</f>
      </c>
      <c r="O396" s="25">
        <f>IF(OR(A396="",I396="",F396=""),0,MAX(0,ROUND((F396-I396)*1440,0)))</f>
      </c>
      <c r="P396" s="12">
        <f>IF(OR(L396="",M396=""),0,MAX(0,ROUND((M396-L396)*24-G396,2)))</f>
      </c>
      <c r="Q396" s="12">
        <f>IF(P396=0,0,MIN(P396,'00_Parametres'!$B$23))</f>
      </c>
      <c r="R396" s="12">
        <f>IF(P396=0,0,MAX(0,P396-'00_Parametres'!$B$23))</f>
      </c>
      <c r="S396" s="10"/>
      <c r="T396" s="10"/>
      <c r="U396" s="10"/>
    </row>
    <row r="397" spans="1:21" x14ac:dyDescent="0.25">
      <c r="A397" s="18"/>
      <c r="B397" s="18"/>
      <c r="C397" s="9">
        <f>IF(B397="","",IFERROR(VLOOKUP(B397,'01_Employes'!$A$6:$Q$30,4,FALSE),"⚠ ID inconnu"))</f>
      </c>
      <c r="D397" s="9">
        <f>IF(A397="","",TEXT(A397,"dddd"))</f>
      </c>
      <c r="E397" s="24">
        <f>IF(A397="","",IFERROR(INDEX('00_Parametres'!$C$7:$C$13,WEEKDAY(A397,2)),""))</f>
      </c>
      <c r="F397" s="24">
        <f>IF(A397="","",IFERROR(INDEX('00_Parametres'!$D$7:$D$13,WEEKDAY(A397,2)),""))</f>
      </c>
      <c r="G397" s="24">
        <f>IF(A397="","",IFERROR(INDEX('00_Parametres'!$E$7:$E$13,WEEKDAY(A397,2)),0))</f>
      </c>
      <c r="H397" s="11"/>
      <c r="I397" s="11"/>
      <c r="J397" s="11"/>
      <c r="K397" s="11"/>
      <c r="L397" s="12">
        <f>IF(OR(A397="",H397=""),"",IF(H397&lt;E397,IF(OR(J397="Oui",'00_Parametres'!$B$28="Oui"),H397,E397),H397))</f>
      </c>
      <c r="M397" s="12">
        <f>IF(OR(A397="",I397=""),"",IF(I397&gt;F397,IF(OR(K397="Oui",'00_Parametres'!$B$29="Oui"),I397,F397),I397))</f>
      </c>
      <c r="N397" s="25">
        <f>IF(OR(A397="",H397="",E397=""),0,MAX(0,ROUND((H397-E397)*1440,0)))</f>
      </c>
      <c r="O397" s="25">
        <f>IF(OR(A397="",I397="",F397=""),0,MAX(0,ROUND((F397-I397)*1440,0)))</f>
      </c>
      <c r="P397" s="12">
        <f>IF(OR(L397="",M397=""),0,MAX(0,ROUND((M397-L397)*24-G397,2)))</f>
      </c>
      <c r="Q397" s="12">
        <f>IF(P397=0,0,MIN(P397,'00_Parametres'!$B$23))</f>
      </c>
      <c r="R397" s="12">
        <f>IF(P397=0,0,MAX(0,P397-'00_Parametres'!$B$23))</f>
      </c>
      <c r="S397" s="10"/>
      <c r="T397" s="10"/>
      <c r="U397" s="10"/>
    </row>
    <row r="398" spans="1:21" x14ac:dyDescent="0.25">
      <c r="A398" s="18"/>
      <c r="B398" s="18"/>
      <c r="C398" s="9">
        <f>IF(B398="","",IFERROR(VLOOKUP(B398,'01_Employes'!$A$6:$Q$30,4,FALSE),"⚠ ID inconnu"))</f>
      </c>
      <c r="D398" s="9">
        <f>IF(A398="","",TEXT(A398,"dddd"))</f>
      </c>
      <c r="E398" s="24">
        <f>IF(A398="","",IFERROR(INDEX('00_Parametres'!$C$7:$C$13,WEEKDAY(A398,2)),""))</f>
      </c>
      <c r="F398" s="24">
        <f>IF(A398="","",IFERROR(INDEX('00_Parametres'!$D$7:$D$13,WEEKDAY(A398,2)),""))</f>
      </c>
      <c r="G398" s="24">
        <f>IF(A398="","",IFERROR(INDEX('00_Parametres'!$E$7:$E$13,WEEKDAY(A398,2)),0))</f>
      </c>
      <c r="H398" s="11"/>
      <c r="I398" s="11"/>
      <c r="J398" s="11"/>
      <c r="K398" s="11"/>
      <c r="L398" s="12">
        <f>IF(OR(A398="",H398=""),"",IF(H398&lt;E398,IF(OR(J398="Oui",'00_Parametres'!$B$28="Oui"),H398,E398),H398))</f>
      </c>
      <c r="M398" s="12">
        <f>IF(OR(A398="",I398=""),"",IF(I398&gt;F398,IF(OR(K398="Oui",'00_Parametres'!$B$29="Oui"),I398,F398),I398))</f>
      </c>
      <c r="N398" s="25">
        <f>IF(OR(A398="",H398="",E398=""),0,MAX(0,ROUND((H398-E398)*1440,0)))</f>
      </c>
      <c r="O398" s="25">
        <f>IF(OR(A398="",I398="",F398=""),0,MAX(0,ROUND((F398-I398)*1440,0)))</f>
      </c>
      <c r="P398" s="12">
        <f>IF(OR(L398="",M398=""),0,MAX(0,ROUND((M398-L398)*24-G398,2)))</f>
      </c>
      <c r="Q398" s="12">
        <f>IF(P398=0,0,MIN(P398,'00_Parametres'!$B$23))</f>
      </c>
      <c r="R398" s="12">
        <f>IF(P398=0,0,MAX(0,P398-'00_Parametres'!$B$23))</f>
      </c>
      <c r="S398" s="10"/>
      <c r="T398" s="10"/>
      <c r="U398" s="10"/>
    </row>
    <row r="399" spans="1:21" x14ac:dyDescent="0.25">
      <c r="A399" s="18"/>
      <c r="B399" s="18"/>
      <c r="C399" s="9">
        <f>IF(B399="","",IFERROR(VLOOKUP(B399,'01_Employes'!$A$6:$Q$30,4,FALSE),"⚠ ID inconnu"))</f>
      </c>
      <c r="D399" s="9">
        <f>IF(A399="","",TEXT(A399,"dddd"))</f>
      </c>
      <c r="E399" s="24">
        <f>IF(A399="","",IFERROR(INDEX('00_Parametres'!$C$7:$C$13,WEEKDAY(A399,2)),""))</f>
      </c>
      <c r="F399" s="24">
        <f>IF(A399="","",IFERROR(INDEX('00_Parametres'!$D$7:$D$13,WEEKDAY(A399,2)),""))</f>
      </c>
      <c r="G399" s="24">
        <f>IF(A399="","",IFERROR(INDEX('00_Parametres'!$E$7:$E$13,WEEKDAY(A399,2)),0))</f>
      </c>
      <c r="H399" s="11"/>
      <c r="I399" s="11"/>
      <c r="J399" s="11"/>
      <c r="K399" s="11"/>
      <c r="L399" s="12">
        <f>IF(OR(A399="",H399=""),"",IF(H399&lt;E399,IF(OR(J399="Oui",'00_Parametres'!$B$28="Oui"),H399,E399),H399))</f>
      </c>
      <c r="M399" s="12">
        <f>IF(OR(A399="",I399=""),"",IF(I399&gt;F399,IF(OR(K399="Oui",'00_Parametres'!$B$29="Oui"),I399,F399),I399))</f>
      </c>
      <c r="N399" s="25">
        <f>IF(OR(A399="",H399="",E399=""),0,MAX(0,ROUND((H399-E399)*1440,0)))</f>
      </c>
      <c r="O399" s="25">
        <f>IF(OR(A399="",I399="",F399=""),0,MAX(0,ROUND((F399-I399)*1440,0)))</f>
      </c>
      <c r="P399" s="12">
        <f>IF(OR(L399="",M399=""),0,MAX(0,ROUND((M399-L399)*24-G399,2)))</f>
      </c>
      <c r="Q399" s="12">
        <f>IF(P399=0,0,MIN(P399,'00_Parametres'!$B$23))</f>
      </c>
      <c r="R399" s="12">
        <f>IF(P399=0,0,MAX(0,P399-'00_Parametres'!$B$23))</f>
      </c>
      <c r="S399" s="10"/>
      <c r="T399" s="10"/>
      <c r="U399" s="10"/>
    </row>
    <row r="400" spans="1:21" x14ac:dyDescent="0.25">
      <c r="A400" s="18"/>
      <c r="B400" s="18"/>
      <c r="C400" s="9">
        <f>IF(B400="","",IFERROR(VLOOKUP(B400,'01_Employes'!$A$6:$Q$30,4,FALSE),"⚠ ID inconnu"))</f>
      </c>
      <c r="D400" s="9">
        <f>IF(A400="","",TEXT(A400,"dddd"))</f>
      </c>
      <c r="E400" s="24">
        <f>IF(A400="","",IFERROR(INDEX('00_Parametres'!$C$7:$C$13,WEEKDAY(A400,2)),""))</f>
      </c>
      <c r="F400" s="24">
        <f>IF(A400="","",IFERROR(INDEX('00_Parametres'!$D$7:$D$13,WEEKDAY(A400,2)),""))</f>
      </c>
      <c r="G400" s="24">
        <f>IF(A400="","",IFERROR(INDEX('00_Parametres'!$E$7:$E$13,WEEKDAY(A400,2)),0))</f>
      </c>
      <c r="H400" s="11"/>
      <c r="I400" s="11"/>
      <c r="J400" s="11"/>
      <c r="K400" s="11"/>
      <c r="L400" s="12">
        <f>IF(OR(A400="",H400=""),"",IF(H400&lt;E400,IF(OR(J400="Oui",'00_Parametres'!$B$28="Oui"),H400,E400),H400))</f>
      </c>
      <c r="M400" s="12">
        <f>IF(OR(A400="",I400=""),"",IF(I400&gt;F400,IF(OR(K400="Oui",'00_Parametres'!$B$29="Oui"),I400,F400),I400))</f>
      </c>
      <c r="N400" s="25">
        <f>IF(OR(A400="",H400="",E400=""),0,MAX(0,ROUND((H400-E400)*1440,0)))</f>
      </c>
      <c r="O400" s="25">
        <f>IF(OR(A400="",I400="",F400=""),0,MAX(0,ROUND((F400-I400)*1440,0)))</f>
      </c>
      <c r="P400" s="12">
        <f>IF(OR(L400="",M400=""),0,MAX(0,ROUND((M400-L400)*24-G400,2)))</f>
      </c>
      <c r="Q400" s="12">
        <f>IF(P400=0,0,MIN(P400,'00_Parametres'!$B$23))</f>
      </c>
      <c r="R400" s="12">
        <f>IF(P400=0,0,MAX(0,P400-'00_Parametres'!$B$23))</f>
      </c>
      <c r="S400" s="10"/>
      <c r="T400" s="10"/>
      <c r="U400" s="10"/>
    </row>
    <row r="401" spans="1:21" x14ac:dyDescent="0.25">
      <c r="A401" s="18"/>
      <c r="B401" s="18"/>
      <c r="C401" s="9">
        <f>IF(B401="","",IFERROR(VLOOKUP(B401,'01_Employes'!$A$6:$Q$30,4,FALSE),"⚠ ID inconnu"))</f>
      </c>
      <c r="D401" s="9">
        <f>IF(A401="","",TEXT(A401,"dddd"))</f>
      </c>
      <c r="E401" s="24">
        <f>IF(A401="","",IFERROR(INDEX('00_Parametres'!$C$7:$C$13,WEEKDAY(A401,2)),""))</f>
      </c>
      <c r="F401" s="24">
        <f>IF(A401="","",IFERROR(INDEX('00_Parametres'!$D$7:$D$13,WEEKDAY(A401,2)),""))</f>
      </c>
      <c r="G401" s="24">
        <f>IF(A401="","",IFERROR(INDEX('00_Parametres'!$E$7:$E$13,WEEKDAY(A401,2)),0))</f>
      </c>
      <c r="H401" s="11"/>
      <c r="I401" s="11"/>
      <c r="J401" s="11"/>
      <c r="K401" s="11"/>
      <c r="L401" s="12">
        <f>IF(OR(A401="",H401=""),"",IF(H401&lt;E401,IF(OR(J401="Oui",'00_Parametres'!$B$28="Oui"),H401,E401),H401))</f>
      </c>
      <c r="M401" s="12">
        <f>IF(OR(A401="",I401=""),"",IF(I401&gt;F401,IF(OR(K401="Oui",'00_Parametres'!$B$29="Oui"),I401,F401),I401))</f>
      </c>
      <c r="N401" s="25">
        <f>IF(OR(A401="",H401="",E401=""),0,MAX(0,ROUND((H401-E401)*1440,0)))</f>
      </c>
      <c r="O401" s="25">
        <f>IF(OR(A401="",I401="",F401=""),0,MAX(0,ROUND((F401-I401)*1440,0)))</f>
      </c>
      <c r="P401" s="12">
        <f>IF(OR(L401="",M401=""),0,MAX(0,ROUND((M401-L401)*24-G401,2)))</f>
      </c>
      <c r="Q401" s="12">
        <f>IF(P401=0,0,MIN(P401,'00_Parametres'!$B$23))</f>
      </c>
      <c r="R401" s="12">
        <f>IF(P401=0,0,MAX(0,P401-'00_Parametres'!$B$23))</f>
      </c>
      <c r="S401" s="10"/>
      <c r="T401" s="10"/>
      <c r="U401" s="10"/>
    </row>
    <row r="402" spans="1:21" x14ac:dyDescent="0.25">
      <c r="A402" s="18"/>
      <c r="B402" s="18"/>
      <c r="C402" s="9">
        <f>IF(B402="","",IFERROR(VLOOKUP(B402,'01_Employes'!$A$6:$Q$30,4,FALSE),"⚠ ID inconnu"))</f>
      </c>
      <c r="D402" s="9">
        <f>IF(A402="","",TEXT(A402,"dddd"))</f>
      </c>
      <c r="E402" s="24">
        <f>IF(A402="","",IFERROR(INDEX('00_Parametres'!$C$7:$C$13,WEEKDAY(A402,2)),""))</f>
      </c>
      <c r="F402" s="24">
        <f>IF(A402="","",IFERROR(INDEX('00_Parametres'!$D$7:$D$13,WEEKDAY(A402,2)),""))</f>
      </c>
      <c r="G402" s="24">
        <f>IF(A402="","",IFERROR(INDEX('00_Parametres'!$E$7:$E$13,WEEKDAY(A402,2)),0))</f>
      </c>
      <c r="H402" s="11"/>
      <c r="I402" s="11"/>
      <c r="J402" s="11"/>
      <c r="K402" s="11"/>
      <c r="L402" s="12">
        <f>IF(OR(A402="",H402=""),"",IF(H402&lt;E402,IF(OR(J402="Oui",'00_Parametres'!$B$28="Oui"),H402,E402),H402))</f>
      </c>
      <c r="M402" s="12">
        <f>IF(OR(A402="",I402=""),"",IF(I402&gt;F402,IF(OR(K402="Oui",'00_Parametres'!$B$29="Oui"),I402,F402),I402))</f>
      </c>
      <c r="N402" s="25">
        <f>IF(OR(A402="",H402="",E402=""),0,MAX(0,ROUND((H402-E402)*1440,0)))</f>
      </c>
      <c r="O402" s="25">
        <f>IF(OR(A402="",I402="",F402=""),0,MAX(0,ROUND((F402-I402)*1440,0)))</f>
      </c>
      <c r="P402" s="12">
        <f>IF(OR(L402="",M402=""),0,MAX(0,ROUND((M402-L402)*24-G402,2)))</f>
      </c>
      <c r="Q402" s="12">
        <f>IF(P402=0,0,MIN(P402,'00_Parametres'!$B$23))</f>
      </c>
      <c r="R402" s="12">
        <f>IF(P402=0,0,MAX(0,P402-'00_Parametres'!$B$23))</f>
      </c>
      <c r="S402" s="10"/>
      <c r="T402" s="10"/>
      <c r="U402" s="10"/>
    </row>
    <row r="403" spans="1:21" x14ac:dyDescent="0.25">
      <c r="A403" s="18"/>
      <c r="B403" s="18"/>
      <c r="C403" s="9">
        <f>IF(B403="","",IFERROR(VLOOKUP(B403,'01_Employes'!$A$6:$Q$30,4,FALSE),"⚠ ID inconnu"))</f>
      </c>
      <c r="D403" s="9">
        <f>IF(A403="","",TEXT(A403,"dddd"))</f>
      </c>
      <c r="E403" s="24">
        <f>IF(A403="","",IFERROR(INDEX('00_Parametres'!$C$7:$C$13,WEEKDAY(A403,2)),""))</f>
      </c>
      <c r="F403" s="24">
        <f>IF(A403="","",IFERROR(INDEX('00_Parametres'!$D$7:$D$13,WEEKDAY(A403,2)),""))</f>
      </c>
      <c r="G403" s="24">
        <f>IF(A403="","",IFERROR(INDEX('00_Parametres'!$E$7:$E$13,WEEKDAY(A403,2)),0))</f>
      </c>
      <c r="H403" s="11"/>
      <c r="I403" s="11"/>
      <c r="J403" s="11"/>
      <c r="K403" s="11"/>
      <c r="L403" s="12">
        <f>IF(OR(A403="",H403=""),"",IF(H403&lt;E403,IF(OR(J403="Oui",'00_Parametres'!$B$28="Oui"),H403,E403),H403))</f>
      </c>
      <c r="M403" s="12">
        <f>IF(OR(A403="",I403=""),"",IF(I403&gt;F403,IF(OR(K403="Oui",'00_Parametres'!$B$29="Oui"),I403,F403),I403))</f>
      </c>
      <c r="N403" s="25">
        <f>IF(OR(A403="",H403="",E403=""),0,MAX(0,ROUND((H403-E403)*1440,0)))</f>
      </c>
      <c r="O403" s="25">
        <f>IF(OR(A403="",I403="",F403=""),0,MAX(0,ROUND((F403-I403)*1440,0)))</f>
      </c>
      <c r="P403" s="12">
        <f>IF(OR(L403="",M403=""),0,MAX(0,ROUND((M403-L403)*24-G403,2)))</f>
      </c>
      <c r="Q403" s="12">
        <f>IF(P403=0,0,MIN(P403,'00_Parametres'!$B$23))</f>
      </c>
      <c r="R403" s="12">
        <f>IF(P403=0,0,MAX(0,P403-'00_Parametres'!$B$23))</f>
      </c>
      <c r="S403" s="10"/>
      <c r="T403" s="10"/>
      <c r="U403" s="10"/>
    </row>
    <row r="404" spans="1:21" x14ac:dyDescent="0.25">
      <c r="A404" s="18"/>
      <c r="B404" s="18"/>
      <c r="C404" s="9">
        <f>IF(B404="","",IFERROR(VLOOKUP(B404,'01_Employes'!$A$6:$Q$30,4,FALSE),"⚠ ID inconnu"))</f>
      </c>
      <c r="D404" s="9">
        <f>IF(A404="","",TEXT(A404,"dddd"))</f>
      </c>
      <c r="E404" s="24">
        <f>IF(A404="","",IFERROR(INDEX('00_Parametres'!$C$7:$C$13,WEEKDAY(A404,2)),""))</f>
      </c>
      <c r="F404" s="24">
        <f>IF(A404="","",IFERROR(INDEX('00_Parametres'!$D$7:$D$13,WEEKDAY(A404,2)),""))</f>
      </c>
      <c r="G404" s="24">
        <f>IF(A404="","",IFERROR(INDEX('00_Parametres'!$E$7:$E$13,WEEKDAY(A404,2)),0))</f>
      </c>
      <c r="H404" s="11"/>
      <c r="I404" s="11"/>
      <c r="J404" s="11"/>
      <c r="K404" s="11"/>
      <c r="L404" s="12">
        <f>IF(OR(A404="",H404=""),"",IF(H404&lt;E404,IF(OR(J404="Oui",'00_Parametres'!$B$28="Oui"),H404,E404),H404))</f>
      </c>
      <c r="M404" s="12">
        <f>IF(OR(A404="",I404=""),"",IF(I404&gt;F404,IF(OR(K404="Oui",'00_Parametres'!$B$29="Oui"),I404,F404),I404))</f>
      </c>
      <c r="N404" s="25">
        <f>IF(OR(A404="",H404="",E404=""),0,MAX(0,ROUND((H404-E404)*1440,0)))</f>
      </c>
      <c r="O404" s="25">
        <f>IF(OR(A404="",I404="",F404=""),0,MAX(0,ROUND((F404-I404)*1440,0)))</f>
      </c>
      <c r="P404" s="12">
        <f>IF(OR(L404="",M404=""),0,MAX(0,ROUND((M404-L404)*24-G404,2)))</f>
      </c>
      <c r="Q404" s="12">
        <f>IF(P404=0,0,MIN(P404,'00_Parametres'!$B$23))</f>
      </c>
      <c r="R404" s="12">
        <f>IF(P404=0,0,MAX(0,P404-'00_Parametres'!$B$23))</f>
      </c>
      <c r="S404" s="10"/>
      <c r="T404" s="10"/>
      <c r="U404" s="10"/>
    </row>
    <row r="405" spans="1:21" x14ac:dyDescent="0.25">
      <c r="A405" s="18"/>
      <c r="B405" s="18"/>
      <c r="C405" s="9">
        <f>IF(B405="","",IFERROR(VLOOKUP(B405,'01_Employes'!$A$6:$Q$30,4,FALSE),"⚠ ID inconnu"))</f>
      </c>
      <c r="D405" s="9">
        <f>IF(A405="","",TEXT(A405,"dddd"))</f>
      </c>
      <c r="E405" s="24">
        <f>IF(A405="","",IFERROR(INDEX('00_Parametres'!$C$7:$C$13,WEEKDAY(A405,2)),""))</f>
      </c>
      <c r="F405" s="24">
        <f>IF(A405="","",IFERROR(INDEX('00_Parametres'!$D$7:$D$13,WEEKDAY(A405,2)),""))</f>
      </c>
      <c r="G405" s="24">
        <f>IF(A405="","",IFERROR(INDEX('00_Parametres'!$E$7:$E$13,WEEKDAY(A405,2)),0))</f>
      </c>
      <c r="H405" s="11"/>
      <c r="I405" s="11"/>
      <c r="J405" s="11"/>
      <c r="K405" s="11"/>
      <c r="L405" s="12">
        <f>IF(OR(A405="",H405=""),"",IF(H405&lt;E405,IF(OR(J405="Oui",'00_Parametres'!$B$28="Oui"),H405,E405),H405))</f>
      </c>
      <c r="M405" s="12">
        <f>IF(OR(A405="",I405=""),"",IF(I405&gt;F405,IF(OR(K405="Oui",'00_Parametres'!$B$29="Oui"),I405,F405),I405))</f>
      </c>
      <c r="N405" s="25">
        <f>IF(OR(A405="",H405="",E405=""),0,MAX(0,ROUND((H405-E405)*1440,0)))</f>
      </c>
      <c r="O405" s="25">
        <f>IF(OR(A405="",I405="",F405=""),0,MAX(0,ROUND((F405-I405)*1440,0)))</f>
      </c>
      <c r="P405" s="12">
        <f>IF(OR(L405="",M405=""),0,MAX(0,ROUND((M405-L405)*24-G405,2)))</f>
      </c>
      <c r="Q405" s="12">
        <f>IF(P405=0,0,MIN(P405,'00_Parametres'!$B$23))</f>
      </c>
      <c r="R405" s="12">
        <f>IF(P405=0,0,MAX(0,P405-'00_Parametres'!$B$23))</f>
      </c>
      <c r="S405" s="10"/>
      <c r="T405" s="10"/>
      <c r="U405" s="10"/>
    </row>
    <row r="406" spans="1:21" x14ac:dyDescent="0.25">
      <c r="A406" s="18"/>
      <c r="B406" s="18"/>
      <c r="C406" s="9">
        <f>IF(B406="","",IFERROR(VLOOKUP(B406,'01_Employes'!$A$6:$Q$30,4,FALSE),"⚠ ID inconnu"))</f>
      </c>
      <c r="D406" s="9">
        <f>IF(A406="","",TEXT(A406,"dddd"))</f>
      </c>
      <c r="E406" s="24">
        <f>IF(A406="","",IFERROR(INDEX('00_Parametres'!$C$7:$C$13,WEEKDAY(A406,2)),""))</f>
      </c>
      <c r="F406" s="24">
        <f>IF(A406="","",IFERROR(INDEX('00_Parametres'!$D$7:$D$13,WEEKDAY(A406,2)),""))</f>
      </c>
      <c r="G406" s="24">
        <f>IF(A406="","",IFERROR(INDEX('00_Parametres'!$E$7:$E$13,WEEKDAY(A406,2)),0))</f>
      </c>
      <c r="H406" s="11"/>
      <c r="I406" s="11"/>
      <c r="J406" s="11"/>
      <c r="K406" s="11"/>
      <c r="L406" s="12">
        <f>IF(OR(A406="",H406=""),"",IF(H406&lt;E406,IF(OR(J406="Oui",'00_Parametres'!$B$28="Oui"),H406,E406),H406))</f>
      </c>
      <c r="M406" s="12">
        <f>IF(OR(A406="",I406=""),"",IF(I406&gt;F406,IF(OR(K406="Oui",'00_Parametres'!$B$29="Oui"),I406,F406),I406))</f>
      </c>
      <c r="N406" s="25">
        <f>IF(OR(A406="",H406="",E406=""),0,MAX(0,ROUND((H406-E406)*1440,0)))</f>
      </c>
      <c r="O406" s="25">
        <f>IF(OR(A406="",I406="",F406=""),0,MAX(0,ROUND((F406-I406)*1440,0)))</f>
      </c>
      <c r="P406" s="12">
        <f>IF(OR(L406="",M406=""),0,MAX(0,ROUND((M406-L406)*24-G406,2)))</f>
      </c>
      <c r="Q406" s="12">
        <f>IF(P406=0,0,MIN(P406,'00_Parametres'!$B$23))</f>
      </c>
      <c r="R406" s="12">
        <f>IF(P406=0,0,MAX(0,P406-'00_Parametres'!$B$23))</f>
      </c>
      <c r="S406" s="10"/>
      <c r="T406" s="10"/>
      <c r="U406" s="10"/>
    </row>
    <row r="407" spans="1:21" x14ac:dyDescent="0.25">
      <c r="A407" s="18"/>
      <c r="B407" s="18"/>
      <c r="C407" s="9">
        <f>IF(B407="","",IFERROR(VLOOKUP(B407,'01_Employes'!$A$6:$Q$30,4,FALSE),"⚠ ID inconnu"))</f>
      </c>
      <c r="D407" s="9">
        <f>IF(A407="","",TEXT(A407,"dddd"))</f>
      </c>
      <c r="E407" s="24">
        <f>IF(A407="","",IFERROR(INDEX('00_Parametres'!$C$7:$C$13,WEEKDAY(A407,2)),""))</f>
      </c>
      <c r="F407" s="24">
        <f>IF(A407="","",IFERROR(INDEX('00_Parametres'!$D$7:$D$13,WEEKDAY(A407,2)),""))</f>
      </c>
      <c r="G407" s="24">
        <f>IF(A407="","",IFERROR(INDEX('00_Parametres'!$E$7:$E$13,WEEKDAY(A407,2)),0))</f>
      </c>
      <c r="H407" s="11"/>
      <c r="I407" s="11"/>
      <c r="J407" s="11"/>
      <c r="K407" s="11"/>
      <c r="L407" s="12">
        <f>IF(OR(A407="",H407=""),"",IF(H407&lt;E407,IF(OR(J407="Oui",'00_Parametres'!$B$28="Oui"),H407,E407),H407))</f>
      </c>
      <c r="M407" s="12">
        <f>IF(OR(A407="",I407=""),"",IF(I407&gt;F407,IF(OR(K407="Oui",'00_Parametres'!$B$29="Oui"),I407,F407),I407))</f>
      </c>
      <c r="N407" s="25">
        <f>IF(OR(A407="",H407="",E407=""),0,MAX(0,ROUND((H407-E407)*1440,0)))</f>
      </c>
      <c r="O407" s="25">
        <f>IF(OR(A407="",I407="",F407=""),0,MAX(0,ROUND((F407-I407)*1440,0)))</f>
      </c>
      <c r="P407" s="12">
        <f>IF(OR(L407="",M407=""),0,MAX(0,ROUND((M407-L407)*24-G407,2)))</f>
      </c>
      <c r="Q407" s="12">
        <f>IF(P407=0,0,MIN(P407,'00_Parametres'!$B$23))</f>
      </c>
      <c r="R407" s="12">
        <f>IF(P407=0,0,MAX(0,P407-'00_Parametres'!$B$23))</f>
      </c>
      <c r="S407" s="10"/>
      <c r="T407" s="10"/>
      <c r="U407" s="10"/>
    </row>
    <row r="408" spans="1:21" x14ac:dyDescent="0.25">
      <c r="A408" s="18"/>
      <c r="B408" s="18"/>
      <c r="C408" s="9">
        <f>IF(B408="","",IFERROR(VLOOKUP(B408,'01_Employes'!$A$6:$Q$30,4,FALSE),"⚠ ID inconnu"))</f>
      </c>
      <c r="D408" s="9">
        <f>IF(A408="","",TEXT(A408,"dddd"))</f>
      </c>
      <c r="E408" s="24">
        <f>IF(A408="","",IFERROR(INDEX('00_Parametres'!$C$7:$C$13,WEEKDAY(A408,2)),""))</f>
      </c>
      <c r="F408" s="24">
        <f>IF(A408="","",IFERROR(INDEX('00_Parametres'!$D$7:$D$13,WEEKDAY(A408,2)),""))</f>
      </c>
      <c r="G408" s="24">
        <f>IF(A408="","",IFERROR(INDEX('00_Parametres'!$E$7:$E$13,WEEKDAY(A408,2)),0))</f>
      </c>
      <c r="H408" s="11"/>
      <c r="I408" s="11"/>
      <c r="J408" s="11"/>
      <c r="K408" s="11"/>
      <c r="L408" s="12">
        <f>IF(OR(A408="",H408=""),"",IF(H408&lt;E408,IF(OR(J408="Oui",'00_Parametres'!$B$28="Oui"),H408,E408),H408))</f>
      </c>
      <c r="M408" s="12">
        <f>IF(OR(A408="",I408=""),"",IF(I408&gt;F408,IF(OR(K408="Oui",'00_Parametres'!$B$29="Oui"),I408,F408),I408))</f>
      </c>
      <c r="N408" s="25">
        <f>IF(OR(A408="",H408="",E408=""),0,MAX(0,ROUND((H408-E408)*1440,0)))</f>
      </c>
      <c r="O408" s="25">
        <f>IF(OR(A408="",I408="",F408=""),0,MAX(0,ROUND((F408-I408)*1440,0)))</f>
      </c>
      <c r="P408" s="12">
        <f>IF(OR(L408="",M408=""),0,MAX(0,ROUND((M408-L408)*24-G408,2)))</f>
      </c>
      <c r="Q408" s="12">
        <f>IF(P408=0,0,MIN(P408,'00_Parametres'!$B$23))</f>
      </c>
      <c r="R408" s="12">
        <f>IF(P408=0,0,MAX(0,P408-'00_Parametres'!$B$23))</f>
      </c>
      <c r="S408" s="10"/>
      <c r="T408" s="10"/>
      <c r="U408" s="10"/>
    </row>
    <row r="409" spans="1:21" x14ac:dyDescent="0.25">
      <c r="A409" s="18"/>
      <c r="B409" s="18"/>
      <c r="C409" s="9">
        <f>IF(B409="","",IFERROR(VLOOKUP(B409,'01_Employes'!$A$6:$Q$30,4,FALSE),"⚠ ID inconnu"))</f>
      </c>
      <c r="D409" s="9">
        <f>IF(A409="","",TEXT(A409,"dddd"))</f>
      </c>
      <c r="E409" s="24">
        <f>IF(A409="","",IFERROR(INDEX('00_Parametres'!$C$7:$C$13,WEEKDAY(A409,2)),""))</f>
      </c>
      <c r="F409" s="24">
        <f>IF(A409="","",IFERROR(INDEX('00_Parametres'!$D$7:$D$13,WEEKDAY(A409,2)),""))</f>
      </c>
      <c r="G409" s="24">
        <f>IF(A409="","",IFERROR(INDEX('00_Parametres'!$E$7:$E$13,WEEKDAY(A409,2)),0))</f>
      </c>
      <c r="H409" s="11"/>
      <c r="I409" s="11"/>
      <c r="J409" s="11"/>
      <c r="K409" s="11"/>
      <c r="L409" s="12">
        <f>IF(OR(A409="",H409=""),"",IF(H409&lt;E409,IF(OR(J409="Oui",'00_Parametres'!$B$28="Oui"),H409,E409),H409))</f>
      </c>
      <c r="M409" s="12">
        <f>IF(OR(A409="",I409=""),"",IF(I409&gt;F409,IF(OR(K409="Oui",'00_Parametres'!$B$29="Oui"),I409,F409),I409))</f>
      </c>
      <c r="N409" s="25">
        <f>IF(OR(A409="",H409="",E409=""),0,MAX(0,ROUND((H409-E409)*1440,0)))</f>
      </c>
      <c r="O409" s="25">
        <f>IF(OR(A409="",I409="",F409=""),0,MAX(0,ROUND((F409-I409)*1440,0)))</f>
      </c>
      <c r="P409" s="12">
        <f>IF(OR(L409="",M409=""),0,MAX(0,ROUND((M409-L409)*24-G409,2)))</f>
      </c>
      <c r="Q409" s="12">
        <f>IF(P409=0,0,MIN(P409,'00_Parametres'!$B$23))</f>
      </c>
      <c r="R409" s="12">
        <f>IF(P409=0,0,MAX(0,P409-'00_Parametres'!$B$23))</f>
      </c>
      <c r="S409" s="10"/>
      <c r="T409" s="10"/>
      <c r="U409" s="10"/>
    </row>
    <row r="410" spans="1:21" x14ac:dyDescent="0.25">
      <c r="A410" s="18"/>
      <c r="B410" s="18"/>
      <c r="C410" s="9">
        <f>IF(B410="","",IFERROR(VLOOKUP(B410,'01_Employes'!$A$6:$Q$30,4,FALSE),"⚠ ID inconnu"))</f>
      </c>
      <c r="D410" s="9">
        <f>IF(A410="","",TEXT(A410,"dddd"))</f>
      </c>
      <c r="E410" s="24">
        <f>IF(A410="","",IFERROR(INDEX('00_Parametres'!$C$7:$C$13,WEEKDAY(A410,2)),""))</f>
      </c>
      <c r="F410" s="24">
        <f>IF(A410="","",IFERROR(INDEX('00_Parametres'!$D$7:$D$13,WEEKDAY(A410,2)),""))</f>
      </c>
      <c r="G410" s="24">
        <f>IF(A410="","",IFERROR(INDEX('00_Parametres'!$E$7:$E$13,WEEKDAY(A410,2)),0))</f>
      </c>
      <c r="H410" s="11"/>
      <c r="I410" s="11"/>
      <c r="J410" s="11"/>
      <c r="K410" s="11"/>
      <c r="L410" s="12">
        <f>IF(OR(A410="",H410=""),"",IF(H410&lt;E410,IF(OR(J410="Oui",'00_Parametres'!$B$28="Oui"),H410,E410),H410))</f>
      </c>
      <c r="M410" s="12">
        <f>IF(OR(A410="",I410=""),"",IF(I410&gt;F410,IF(OR(K410="Oui",'00_Parametres'!$B$29="Oui"),I410,F410),I410))</f>
      </c>
      <c r="N410" s="25">
        <f>IF(OR(A410="",H410="",E410=""),0,MAX(0,ROUND((H410-E410)*1440,0)))</f>
      </c>
      <c r="O410" s="25">
        <f>IF(OR(A410="",I410="",F410=""),0,MAX(0,ROUND((F410-I410)*1440,0)))</f>
      </c>
      <c r="P410" s="12">
        <f>IF(OR(L410="",M410=""),0,MAX(0,ROUND((M410-L410)*24-G410,2)))</f>
      </c>
      <c r="Q410" s="12">
        <f>IF(P410=0,0,MIN(P410,'00_Parametres'!$B$23))</f>
      </c>
      <c r="R410" s="12">
        <f>IF(P410=0,0,MAX(0,P410-'00_Parametres'!$B$23))</f>
      </c>
      <c r="S410" s="10"/>
      <c r="T410" s="10"/>
      <c r="U410" s="10"/>
    </row>
    <row r="411" spans="1:21" x14ac:dyDescent="0.25">
      <c r="A411" s="18"/>
      <c r="B411" s="18"/>
      <c r="C411" s="9">
        <f>IF(B411="","",IFERROR(VLOOKUP(B411,'01_Employes'!$A$6:$Q$30,4,FALSE),"⚠ ID inconnu"))</f>
      </c>
      <c r="D411" s="9">
        <f>IF(A411="","",TEXT(A411,"dddd"))</f>
      </c>
      <c r="E411" s="24">
        <f>IF(A411="","",IFERROR(INDEX('00_Parametres'!$C$7:$C$13,WEEKDAY(A411,2)),""))</f>
      </c>
      <c r="F411" s="24">
        <f>IF(A411="","",IFERROR(INDEX('00_Parametres'!$D$7:$D$13,WEEKDAY(A411,2)),""))</f>
      </c>
      <c r="G411" s="24">
        <f>IF(A411="","",IFERROR(INDEX('00_Parametres'!$E$7:$E$13,WEEKDAY(A411,2)),0))</f>
      </c>
      <c r="H411" s="11"/>
      <c r="I411" s="11"/>
      <c r="J411" s="11"/>
      <c r="K411" s="11"/>
      <c r="L411" s="12">
        <f>IF(OR(A411="",H411=""),"",IF(H411&lt;E411,IF(OR(J411="Oui",'00_Parametres'!$B$28="Oui"),H411,E411),H411))</f>
      </c>
      <c r="M411" s="12">
        <f>IF(OR(A411="",I411=""),"",IF(I411&gt;F411,IF(OR(K411="Oui",'00_Parametres'!$B$29="Oui"),I411,F411),I411))</f>
      </c>
      <c r="N411" s="25">
        <f>IF(OR(A411="",H411="",E411=""),0,MAX(0,ROUND((H411-E411)*1440,0)))</f>
      </c>
      <c r="O411" s="25">
        <f>IF(OR(A411="",I411="",F411=""),0,MAX(0,ROUND((F411-I411)*1440,0)))</f>
      </c>
      <c r="P411" s="12">
        <f>IF(OR(L411="",M411=""),0,MAX(0,ROUND((M411-L411)*24-G411,2)))</f>
      </c>
      <c r="Q411" s="12">
        <f>IF(P411=0,0,MIN(P411,'00_Parametres'!$B$23))</f>
      </c>
      <c r="R411" s="12">
        <f>IF(P411=0,0,MAX(0,P411-'00_Parametres'!$B$23))</f>
      </c>
      <c r="S411" s="10"/>
      <c r="T411" s="10"/>
      <c r="U411" s="10"/>
    </row>
    <row r="412" spans="1:21" x14ac:dyDescent="0.25">
      <c r="A412" s="18"/>
      <c r="B412" s="18"/>
      <c r="C412" s="9">
        <f>IF(B412="","",IFERROR(VLOOKUP(B412,'01_Employes'!$A$6:$Q$30,4,FALSE),"⚠ ID inconnu"))</f>
      </c>
      <c r="D412" s="9">
        <f>IF(A412="","",TEXT(A412,"dddd"))</f>
      </c>
      <c r="E412" s="24">
        <f>IF(A412="","",IFERROR(INDEX('00_Parametres'!$C$7:$C$13,WEEKDAY(A412,2)),""))</f>
      </c>
      <c r="F412" s="24">
        <f>IF(A412="","",IFERROR(INDEX('00_Parametres'!$D$7:$D$13,WEEKDAY(A412,2)),""))</f>
      </c>
      <c r="G412" s="24">
        <f>IF(A412="","",IFERROR(INDEX('00_Parametres'!$E$7:$E$13,WEEKDAY(A412,2)),0))</f>
      </c>
      <c r="H412" s="11"/>
      <c r="I412" s="11"/>
      <c r="J412" s="11"/>
      <c r="K412" s="11"/>
      <c r="L412" s="12">
        <f>IF(OR(A412="",H412=""),"",IF(H412&lt;E412,IF(OR(J412="Oui",'00_Parametres'!$B$28="Oui"),H412,E412),H412))</f>
      </c>
      <c r="M412" s="12">
        <f>IF(OR(A412="",I412=""),"",IF(I412&gt;F412,IF(OR(K412="Oui",'00_Parametres'!$B$29="Oui"),I412,F412),I412))</f>
      </c>
      <c r="N412" s="25">
        <f>IF(OR(A412="",H412="",E412=""),0,MAX(0,ROUND((H412-E412)*1440,0)))</f>
      </c>
      <c r="O412" s="25">
        <f>IF(OR(A412="",I412="",F412=""),0,MAX(0,ROUND((F412-I412)*1440,0)))</f>
      </c>
      <c r="P412" s="12">
        <f>IF(OR(L412="",M412=""),0,MAX(0,ROUND((M412-L412)*24-G412,2)))</f>
      </c>
      <c r="Q412" s="12">
        <f>IF(P412=0,0,MIN(P412,'00_Parametres'!$B$23))</f>
      </c>
      <c r="R412" s="12">
        <f>IF(P412=0,0,MAX(0,P412-'00_Parametres'!$B$23))</f>
      </c>
      <c r="S412" s="10"/>
      <c r="T412" s="10"/>
      <c r="U412" s="10"/>
    </row>
    <row r="413" spans="1:21" x14ac:dyDescent="0.25">
      <c r="A413" s="18"/>
      <c r="B413" s="18"/>
      <c r="C413" s="9">
        <f>IF(B413="","",IFERROR(VLOOKUP(B413,'01_Employes'!$A$6:$Q$30,4,FALSE),"⚠ ID inconnu"))</f>
      </c>
      <c r="D413" s="9">
        <f>IF(A413="","",TEXT(A413,"dddd"))</f>
      </c>
      <c r="E413" s="24">
        <f>IF(A413="","",IFERROR(INDEX('00_Parametres'!$C$7:$C$13,WEEKDAY(A413,2)),""))</f>
      </c>
      <c r="F413" s="24">
        <f>IF(A413="","",IFERROR(INDEX('00_Parametres'!$D$7:$D$13,WEEKDAY(A413,2)),""))</f>
      </c>
      <c r="G413" s="24">
        <f>IF(A413="","",IFERROR(INDEX('00_Parametres'!$E$7:$E$13,WEEKDAY(A413,2)),0))</f>
      </c>
      <c r="H413" s="11"/>
      <c r="I413" s="11"/>
      <c r="J413" s="11"/>
      <c r="K413" s="11"/>
      <c r="L413" s="12">
        <f>IF(OR(A413="",H413=""),"",IF(H413&lt;E413,IF(OR(J413="Oui",'00_Parametres'!$B$28="Oui"),H413,E413),H413))</f>
      </c>
      <c r="M413" s="12">
        <f>IF(OR(A413="",I413=""),"",IF(I413&gt;F413,IF(OR(K413="Oui",'00_Parametres'!$B$29="Oui"),I413,F413),I413))</f>
      </c>
      <c r="N413" s="25">
        <f>IF(OR(A413="",H413="",E413=""),0,MAX(0,ROUND((H413-E413)*1440,0)))</f>
      </c>
      <c r="O413" s="25">
        <f>IF(OR(A413="",I413="",F413=""),0,MAX(0,ROUND((F413-I413)*1440,0)))</f>
      </c>
      <c r="P413" s="12">
        <f>IF(OR(L413="",M413=""),0,MAX(0,ROUND((M413-L413)*24-G413,2)))</f>
      </c>
      <c r="Q413" s="12">
        <f>IF(P413=0,0,MIN(P413,'00_Parametres'!$B$23))</f>
      </c>
      <c r="R413" s="12">
        <f>IF(P413=0,0,MAX(0,P413-'00_Parametres'!$B$23))</f>
      </c>
      <c r="S413" s="10"/>
      <c r="T413" s="10"/>
      <c r="U413" s="10"/>
    </row>
    <row r="414" spans="1:21" x14ac:dyDescent="0.25">
      <c r="A414" s="18"/>
      <c r="B414" s="18"/>
      <c r="C414" s="9">
        <f>IF(B414="","",IFERROR(VLOOKUP(B414,'01_Employes'!$A$6:$Q$30,4,FALSE),"⚠ ID inconnu"))</f>
      </c>
      <c r="D414" s="9">
        <f>IF(A414="","",TEXT(A414,"dddd"))</f>
      </c>
      <c r="E414" s="24">
        <f>IF(A414="","",IFERROR(INDEX('00_Parametres'!$C$7:$C$13,WEEKDAY(A414,2)),""))</f>
      </c>
      <c r="F414" s="24">
        <f>IF(A414="","",IFERROR(INDEX('00_Parametres'!$D$7:$D$13,WEEKDAY(A414,2)),""))</f>
      </c>
      <c r="G414" s="24">
        <f>IF(A414="","",IFERROR(INDEX('00_Parametres'!$E$7:$E$13,WEEKDAY(A414,2)),0))</f>
      </c>
      <c r="H414" s="11"/>
      <c r="I414" s="11"/>
      <c r="J414" s="11"/>
      <c r="K414" s="11"/>
      <c r="L414" s="12">
        <f>IF(OR(A414="",H414=""),"",IF(H414&lt;E414,IF(OR(J414="Oui",'00_Parametres'!$B$28="Oui"),H414,E414),H414))</f>
      </c>
      <c r="M414" s="12">
        <f>IF(OR(A414="",I414=""),"",IF(I414&gt;F414,IF(OR(K414="Oui",'00_Parametres'!$B$29="Oui"),I414,F414),I414))</f>
      </c>
      <c r="N414" s="25">
        <f>IF(OR(A414="",H414="",E414=""),0,MAX(0,ROUND((H414-E414)*1440,0)))</f>
      </c>
      <c r="O414" s="25">
        <f>IF(OR(A414="",I414="",F414=""),0,MAX(0,ROUND((F414-I414)*1440,0)))</f>
      </c>
      <c r="P414" s="12">
        <f>IF(OR(L414="",M414=""),0,MAX(0,ROUND((M414-L414)*24-G414,2)))</f>
      </c>
      <c r="Q414" s="12">
        <f>IF(P414=0,0,MIN(P414,'00_Parametres'!$B$23))</f>
      </c>
      <c r="R414" s="12">
        <f>IF(P414=0,0,MAX(0,P414-'00_Parametres'!$B$23))</f>
      </c>
      <c r="S414" s="10"/>
      <c r="T414" s="10"/>
      <c r="U414" s="10"/>
    </row>
    <row r="415" spans="1:21" x14ac:dyDescent="0.25">
      <c r="A415" s="18"/>
      <c r="B415" s="18"/>
      <c r="C415" s="9">
        <f>IF(B415="","",IFERROR(VLOOKUP(B415,'01_Employes'!$A$6:$Q$30,4,FALSE),"⚠ ID inconnu"))</f>
      </c>
      <c r="D415" s="9">
        <f>IF(A415="","",TEXT(A415,"dddd"))</f>
      </c>
      <c r="E415" s="24">
        <f>IF(A415="","",IFERROR(INDEX('00_Parametres'!$C$7:$C$13,WEEKDAY(A415,2)),""))</f>
      </c>
      <c r="F415" s="24">
        <f>IF(A415="","",IFERROR(INDEX('00_Parametres'!$D$7:$D$13,WEEKDAY(A415,2)),""))</f>
      </c>
      <c r="G415" s="24">
        <f>IF(A415="","",IFERROR(INDEX('00_Parametres'!$E$7:$E$13,WEEKDAY(A415,2)),0))</f>
      </c>
      <c r="H415" s="11"/>
      <c r="I415" s="11"/>
      <c r="J415" s="11"/>
      <c r="K415" s="11"/>
      <c r="L415" s="12">
        <f>IF(OR(A415="",H415=""),"",IF(H415&lt;E415,IF(OR(J415="Oui",'00_Parametres'!$B$28="Oui"),H415,E415),H415))</f>
      </c>
      <c r="M415" s="12">
        <f>IF(OR(A415="",I415=""),"",IF(I415&gt;F415,IF(OR(K415="Oui",'00_Parametres'!$B$29="Oui"),I415,F415),I415))</f>
      </c>
      <c r="N415" s="25">
        <f>IF(OR(A415="",H415="",E415=""),0,MAX(0,ROUND((H415-E415)*1440,0)))</f>
      </c>
      <c r="O415" s="25">
        <f>IF(OR(A415="",I415="",F415=""),0,MAX(0,ROUND((F415-I415)*1440,0)))</f>
      </c>
      <c r="P415" s="12">
        <f>IF(OR(L415="",M415=""),0,MAX(0,ROUND((M415-L415)*24-G415,2)))</f>
      </c>
      <c r="Q415" s="12">
        <f>IF(P415=0,0,MIN(P415,'00_Parametres'!$B$23))</f>
      </c>
      <c r="R415" s="12">
        <f>IF(P415=0,0,MAX(0,P415-'00_Parametres'!$B$23))</f>
      </c>
      <c r="S415" s="10"/>
      <c r="T415" s="10"/>
      <c r="U415" s="10"/>
    </row>
    <row r="416" spans="1:21" x14ac:dyDescent="0.25">
      <c r="A416" s="18"/>
      <c r="B416" s="18"/>
      <c r="C416" s="9">
        <f>IF(B416="","",IFERROR(VLOOKUP(B416,'01_Employes'!$A$6:$Q$30,4,FALSE),"⚠ ID inconnu"))</f>
      </c>
      <c r="D416" s="9">
        <f>IF(A416="","",TEXT(A416,"dddd"))</f>
      </c>
      <c r="E416" s="24">
        <f>IF(A416="","",IFERROR(INDEX('00_Parametres'!$C$7:$C$13,WEEKDAY(A416,2)),""))</f>
      </c>
      <c r="F416" s="24">
        <f>IF(A416="","",IFERROR(INDEX('00_Parametres'!$D$7:$D$13,WEEKDAY(A416,2)),""))</f>
      </c>
      <c r="G416" s="24">
        <f>IF(A416="","",IFERROR(INDEX('00_Parametres'!$E$7:$E$13,WEEKDAY(A416,2)),0))</f>
      </c>
      <c r="H416" s="11"/>
      <c r="I416" s="11"/>
      <c r="J416" s="11"/>
      <c r="K416" s="11"/>
      <c r="L416" s="12">
        <f>IF(OR(A416="",H416=""),"",IF(H416&lt;E416,IF(OR(J416="Oui",'00_Parametres'!$B$28="Oui"),H416,E416),H416))</f>
      </c>
      <c r="M416" s="12">
        <f>IF(OR(A416="",I416=""),"",IF(I416&gt;F416,IF(OR(K416="Oui",'00_Parametres'!$B$29="Oui"),I416,F416),I416))</f>
      </c>
      <c r="N416" s="25">
        <f>IF(OR(A416="",H416="",E416=""),0,MAX(0,ROUND((H416-E416)*1440,0)))</f>
      </c>
      <c r="O416" s="25">
        <f>IF(OR(A416="",I416="",F416=""),0,MAX(0,ROUND((F416-I416)*1440,0)))</f>
      </c>
      <c r="P416" s="12">
        <f>IF(OR(L416="",M416=""),0,MAX(0,ROUND((M416-L416)*24-G416,2)))</f>
      </c>
      <c r="Q416" s="12">
        <f>IF(P416=0,0,MIN(P416,'00_Parametres'!$B$23))</f>
      </c>
      <c r="R416" s="12">
        <f>IF(P416=0,0,MAX(0,P416-'00_Parametres'!$B$23))</f>
      </c>
      <c r="S416" s="10"/>
      <c r="T416" s="10"/>
      <c r="U416" s="10"/>
    </row>
    <row r="417" spans="1:21" x14ac:dyDescent="0.25">
      <c r="A417" s="18"/>
      <c r="B417" s="18"/>
      <c r="C417" s="9">
        <f>IF(B417="","",IFERROR(VLOOKUP(B417,'01_Employes'!$A$6:$Q$30,4,FALSE),"⚠ ID inconnu"))</f>
      </c>
      <c r="D417" s="9">
        <f>IF(A417="","",TEXT(A417,"dddd"))</f>
      </c>
      <c r="E417" s="24">
        <f>IF(A417="","",IFERROR(INDEX('00_Parametres'!$C$7:$C$13,WEEKDAY(A417,2)),""))</f>
      </c>
      <c r="F417" s="24">
        <f>IF(A417="","",IFERROR(INDEX('00_Parametres'!$D$7:$D$13,WEEKDAY(A417,2)),""))</f>
      </c>
      <c r="G417" s="24">
        <f>IF(A417="","",IFERROR(INDEX('00_Parametres'!$E$7:$E$13,WEEKDAY(A417,2)),0))</f>
      </c>
      <c r="H417" s="11"/>
      <c r="I417" s="11"/>
      <c r="J417" s="11"/>
      <c r="K417" s="11"/>
      <c r="L417" s="12">
        <f>IF(OR(A417="",H417=""),"",IF(H417&lt;E417,IF(OR(J417="Oui",'00_Parametres'!$B$28="Oui"),H417,E417),H417))</f>
      </c>
      <c r="M417" s="12">
        <f>IF(OR(A417="",I417=""),"",IF(I417&gt;F417,IF(OR(K417="Oui",'00_Parametres'!$B$29="Oui"),I417,F417),I417))</f>
      </c>
      <c r="N417" s="25">
        <f>IF(OR(A417="",H417="",E417=""),0,MAX(0,ROUND((H417-E417)*1440,0)))</f>
      </c>
      <c r="O417" s="25">
        <f>IF(OR(A417="",I417="",F417=""),0,MAX(0,ROUND((F417-I417)*1440,0)))</f>
      </c>
      <c r="P417" s="12">
        <f>IF(OR(L417="",M417=""),0,MAX(0,ROUND((M417-L417)*24-G417,2)))</f>
      </c>
      <c r="Q417" s="12">
        <f>IF(P417=0,0,MIN(P417,'00_Parametres'!$B$23))</f>
      </c>
      <c r="R417" s="12">
        <f>IF(P417=0,0,MAX(0,P417-'00_Parametres'!$B$23))</f>
      </c>
      <c r="S417" s="10"/>
      <c r="T417" s="10"/>
      <c r="U417" s="10"/>
    </row>
    <row r="418" spans="1:21" x14ac:dyDescent="0.25">
      <c r="A418" s="18"/>
      <c r="B418" s="18"/>
      <c r="C418" s="9">
        <f>IF(B418="","",IFERROR(VLOOKUP(B418,'01_Employes'!$A$6:$Q$30,4,FALSE),"⚠ ID inconnu"))</f>
      </c>
      <c r="D418" s="9">
        <f>IF(A418="","",TEXT(A418,"dddd"))</f>
      </c>
      <c r="E418" s="24">
        <f>IF(A418="","",IFERROR(INDEX('00_Parametres'!$C$7:$C$13,WEEKDAY(A418,2)),""))</f>
      </c>
      <c r="F418" s="24">
        <f>IF(A418="","",IFERROR(INDEX('00_Parametres'!$D$7:$D$13,WEEKDAY(A418,2)),""))</f>
      </c>
      <c r="G418" s="24">
        <f>IF(A418="","",IFERROR(INDEX('00_Parametres'!$E$7:$E$13,WEEKDAY(A418,2)),0))</f>
      </c>
      <c r="H418" s="11"/>
      <c r="I418" s="11"/>
      <c r="J418" s="11"/>
      <c r="K418" s="11"/>
      <c r="L418" s="12">
        <f>IF(OR(A418="",H418=""),"",IF(H418&lt;E418,IF(OR(J418="Oui",'00_Parametres'!$B$28="Oui"),H418,E418),H418))</f>
      </c>
      <c r="M418" s="12">
        <f>IF(OR(A418="",I418=""),"",IF(I418&gt;F418,IF(OR(K418="Oui",'00_Parametres'!$B$29="Oui"),I418,F418),I418))</f>
      </c>
      <c r="N418" s="25">
        <f>IF(OR(A418="",H418="",E418=""),0,MAX(0,ROUND((H418-E418)*1440,0)))</f>
      </c>
      <c r="O418" s="25">
        <f>IF(OR(A418="",I418="",F418=""),0,MAX(0,ROUND((F418-I418)*1440,0)))</f>
      </c>
      <c r="P418" s="12">
        <f>IF(OR(L418="",M418=""),0,MAX(0,ROUND((M418-L418)*24-G418,2)))</f>
      </c>
      <c r="Q418" s="12">
        <f>IF(P418=0,0,MIN(P418,'00_Parametres'!$B$23))</f>
      </c>
      <c r="R418" s="12">
        <f>IF(P418=0,0,MAX(0,P418-'00_Parametres'!$B$23))</f>
      </c>
      <c r="S418" s="10"/>
      <c r="T418" s="10"/>
      <c r="U418" s="10"/>
    </row>
    <row r="419" spans="1:21" x14ac:dyDescent="0.25">
      <c r="A419" s="18"/>
      <c r="B419" s="18"/>
      <c r="C419" s="9">
        <f>IF(B419="","",IFERROR(VLOOKUP(B419,'01_Employes'!$A$6:$Q$30,4,FALSE),"⚠ ID inconnu"))</f>
      </c>
      <c r="D419" s="9">
        <f>IF(A419="","",TEXT(A419,"dddd"))</f>
      </c>
      <c r="E419" s="24">
        <f>IF(A419="","",IFERROR(INDEX('00_Parametres'!$C$7:$C$13,WEEKDAY(A419,2)),""))</f>
      </c>
      <c r="F419" s="24">
        <f>IF(A419="","",IFERROR(INDEX('00_Parametres'!$D$7:$D$13,WEEKDAY(A419,2)),""))</f>
      </c>
      <c r="G419" s="24">
        <f>IF(A419="","",IFERROR(INDEX('00_Parametres'!$E$7:$E$13,WEEKDAY(A419,2)),0))</f>
      </c>
      <c r="H419" s="11"/>
      <c r="I419" s="11"/>
      <c r="J419" s="11"/>
      <c r="K419" s="11"/>
      <c r="L419" s="12">
        <f>IF(OR(A419="",H419=""),"",IF(H419&lt;E419,IF(OR(J419="Oui",'00_Parametres'!$B$28="Oui"),H419,E419),H419))</f>
      </c>
      <c r="M419" s="12">
        <f>IF(OR(A419="",I419=""),"",IF(I419&gt;F419,IF(OR(K419="Oui",'00_Parametres'!$B$29="Oui"),I419,F419),I419))</f>
      </c>
      <c r="N419" s="25">
        <f>IF(OR(A419="",H419="",E419=""),0,MAX(0,ROUND((H419-E419)*1440,0)))</f>
      </c>
      <c r="O419" s="25">
        <f>IF(OR(A419="",I419="",F419=""),0,MAX(0,ROUND((F419-I419)*1440,0)))</f>
      </c>
      <c r="P419" s="12">
        <f>IF(OR(L419="",M419=""),0,MAX(0,ROUND((M419-L419)*24-G419,2)))</f>
      </c>
      <c r="Q419" s="12">
        <f>IF(P419=0,0,MIN(P419,'00_Parametres'!$B$23))</f>
      </c>
      <c r="R419" s="12">
        <f>IF(P419=0,0,MAX(0,P419-'00_Parametres'!$B$23))</f>
      </c>
      <c r="S419" s="10"/>
      <c r="T419" s="10"/>
      <c r="U419" s="10"/>
    </row>
    <row r="420" spans="1:21" x14ac:dyDescent="0.25">
      <c r="A420" s="18"/>
      <c r="B420" s="18"/>
      <c r="C420" s="9">
        <f>IF(B420="","",IFERROR(VLOOKUP(B420,'01_Employes'!$A$6:$Q$30,4,FALSE),"⚠ ID inconnu"))</f>
      </c>
      <c r="D420" s="9">
        <f>IF(A420="","",TEXT(A420,"dddd"))</f>
      </c>
      <c r="E420" s="24">
        <f>IF(A420="","",IFERROR(INDEX('00_Parametres'!$C$7:$C$13,WEEKDAY(A420,2)),""))</f>
      </c>
      <c r="F420" s="24">
        <f>IF(A420="","",IFERROR(INDEX('00_Parametres'!$D$7:$D$13,WEEKDAY(A420,2)),""))</f>
      </c>
      <c r="G420" s="24">
        <f>IF(A420="","",IFERROR(INDEX('00_Parametres'!$E$7:$E$13,WEEKDAY(A420,2)),0))</f>
      </c>
      <c r="H420" s="11"/>
      <c r="I420" s="11"/>
      <c r="J420" s="11"/>
      <c r="K420" s="11"/>
      <c r="L420" s="12">
        <f>IF(OR(A420="",H420=""),"",IF(H420&lt;E420,IF(OR(J420="Oui",'00_Parametres'!$B$28="Oui"),H420,E420),H420))</f>
      </c>
      <c r="M420" s="12">
        <f>IF(OR(A420="",I420=""),"",IF(I420&gt;F420,IF(OR(K420="Oui",'00_Parametres'!$B$29="Oui"),I420,F420),I420))</f>
      </c>
      <c r="N420" s="25">
        <f>IF(OR(A420="",H420="",E420=""),0,MAX(0,ROUND((H420-E420)*1440,0)))</f>
      </c>
      <c r="O420" s="25">
        <f>IF(OR(A420="",I420="",F420=""),0,MAX(0,ROUND((F420-I420)*1440,0)))</f>
      </c>
      <c r="P420" s="12">
        <f>IF(OR(L420="",M420=""),0,MAX(0,ROUND((M420-L420)*24-G420,2)))</f>
      </c>
      <c r="Q420" s="12">
        <f>IF(P420=0,0,MIN(P420,'00_Parametres'!$B$23))</f>
      </c>
      <c r="R420" s="12">
        <f>IF(P420=0,0,MAX(0,P420-'00_Parametres'!$B$23))</f>
      </c>
      <c r="S420" s="10"/>
      <c r="T420" s="10"/>
      <c r="U420" s="10"/>
    </row>
    <row r="421" spans="1:21" x14ac:dyDescent="0.25">
      <c r="A421" s="18"/>
      <c r="B421" s="18"/>
      <c r="C421" s="9">
        <f>IF(B421="","",IFERROR(VLOOKUP(B421,'01_Employes'!$A$6:$Q$30,4,FALSE),"⚠ ID inconnu"))</f>
      </c>
      <c r="D421" s="9">
        <f>IF(A421="","",TEXT(A421,"dddd"))</f>
      </c>
      <c r="E421" s="24">
        <f>IF(A421="","",IFERROR(INDEX('00_Parametres'!$C$7:$C$13,WEEKDAY(A421,2)),""))</f>
      </c>
      <c r="F421" s="24">
        <f>IF(A421="","",IFERROR(INDEX('00_Parametres'!$D$7:$D$13,WEEKDAY(A421,2)),""))</f>
      </c>
      <c r="G421" s="24">
        <f>IF(A421="","",IFERROR(INDEX('00_Parametres'!$E$7:$E$13,WEEKDAY(A421,2)),0))</f>
      </c>
      <c r="H421" s="11"/>
      <c r="I421" s="11"/>
      <c r="J421" s="11"/>
      <c r="K421" s="11"/>
      <c r="L421" s="12">
        <f>IF(OR(A421="",H421=""),"",IF(H421&lt;E421,IF(OR(J421="Oui",'00_Parametres'!$B$28="Oui"),H421,E421),H421))</f>
      </c>
      <c r="M421" s="12">
        <f>IF(OR(A421="",I421=""),"",IF(I421&gt;F421,IF(OR(K421="Oui",'00_Parametres'!$B$29="Oui"),I421,F421),I421))</f>
      </c>
      <c r="N421" s="25">
        <f>IF(OR(A421="",H421="",E421=""),0,MAX(0,ROUND((H421-E421)*1440,0)))</f>
      </c>
      <c r="O421" s="25">
        <f>IF(OR(A421="",I421="",F421=""),0,MAX(0,ROUND((F421-I421)*1440,0)))</f>
      </c>
      <c r="P421" s="12">
        <f>IF(OR(L421="",M421=""),0,MAX(0,ROUND((M421-L421)*24-G421,2)))</f>
      </c>
      <c r="Q421" s="12">
        <f>IF(P421=0,0,MIN(P421,'00_Parametres'!$B$23))</f>
      </c>
      <c r="R421" s="12">
        <f>IF(P421=0,0,MAX(0,P421-'00_Parametres'!$B$23))</f>
      </c>
      <c r="S421" s="10"/>
      <c r="T421" s="10"/>
      <c r="U421" s="10"/>
    </row>
    <row r="422" spans="1:21" x14ac:dyDescent="0.25">
      <c r="A422" s="18"/>
      <c r="B422" s="18"/>
      <c r="C422" s="9">
        <f>IF(B422="","",IFERROR(VLOOKUP(B422,'01_Employes'!$A$6:$Q$30,4,FALSE),"⚠ ID inconnu"))</f>
      </c>
      <c r="D422" s="9">
        <f>IF(A422="","",TEXT(A422,"dddd"))</f>
      </c>
      <c r="E422" s="24">
        <f>IF(A422="","",IFERROR(INDEX('00_Parametres'!$C$7:$C$13,WEEKDAY(A422,2)),""))</f>
      </c>
      <c r="F422" s="24">
        <f>IF(A422="","",IFERROR(INDEX('00_Parametres'!$D$7:$D$13,WEEKDAY(A422,2)),""))</f>
      </c>
      <c r="G422" s="24">
        <f>IF(A422="","",IFERROR(INDEX('00_Parametres'!$E$7:$E$13,WEEKDAY(A422,2)),0))</f>
      </c>
      <c r="H422" s="11"/>
      <c r="I422" s="11"/>
      <c r="J422" s="11"/>
      <c r="K422" s="11"/>
      <c r="L422" s="12">
        <f>IF(OR(A422="",H422=""),"",IF(H422&lt;E422,IF(OR(J422="Oui",'00_Parametres'!$B$28="Oui"),H422,E422),H422))</f>
      </c>
      <c r="M422" s="12">
        <f>IF(OR(A422="",I422=""),"",IF(I422&gt;F422,IF(OR(K422="Oui",'00_Parametres'!$B$29="Oui"),I422,F422),I422))</f>
      </c>
      <c r="N422" s="25">
        <f>IF(OR(A422="",H422="",E422=""),0,MAX(0,ROUND((H422-E422)*1440,0)))</f>
      </c>
      <c r="O422" s="25">
        <f>IF(OR(A422="",I422="",F422=""),0,MAX(0,ROUND((F422-I422)*1440,0)))</f>
      </c>
      <c r="P422" s="12">
        <f>IF(OR(L422="",M422=""),0,MAX(0,ROUND((M422-L422)*24-G422,2)))</f>
      </c>
      <c r="Q422" s="12">
        <f>IF(P422=0,0,MIN(P422,'00_Parametres'!$B$23))</f>
      </c>
      <c r="R422" s="12">
        <f>IF(P422=0,0,MAX(0,P422-'00_Parametres'!$B$23))</f>
      </c>
      <c r="S422" s="10"/>
      <c r="T422" s="10"/>
      <c r="U422" s="10"/>
    </row>
    <row r="423" spans="1:21" x14ac:dyDescent="0.25">
      <c r="A423" s="18"/>
      <c r="B423" s="18"/>
      <c r="C423" s="9">
        <f>IF(B423="","",IFERROR(VLOOKUP(B423,'01_Employes'!$A$6:$Q$30,4,FALSE),"⚠ ID inconnu"))</f>
      </c>
      <c r="D423" s="9">
        <f>IF(A423="","",TEXT(A423,"dddd"))</f>
      </c>
      <c r="E423" s="24">
        <f>IF(A423="","",IFERROR(INDEX('00_Parametres'!$C$7:$C$13,WEEKDAY(A423,2)),""))</f>
      </c>
      <c r="F423" s="24">
        <f>IF(A423="","",IFERROR(INDEX('00_Parametres'!$D$7:$D$13,WEEKDAY(A423,2)),""))</f>
      </c>
      <c r="G423" s="24">
        <f>IF(A423="","",IFERROR(INDEX('00_Parametres'!$E$7:$E$13,WEEKDAY(A423,2)),0))</f>
      </c>
      <c r="H423" s="11"/>
      <c r="I423" s="11"/>
      <c r="J423" s="11"/>
      <c r="K423" s="11"/>
      <c r="L423" s="12">
        <f>IF(OR(A423="",H423=""),"",IF(H423&lt;E423,IF(OR(J423="Oui",'00_Parametres'!$B$28="Oui"),H423,E423),H423))</f>
      </c>
      <c r="M423" s="12">
        <f>IF(OR(A423="",I423=""),"",IF(I423&gt;F423,IF(OR(K423="Oui",'00_Parametres'!$B$29="Oui"),I423,F423),I423))</f>
      </c>
      <c r="N423" s="25">
        <f>IF(OR(A423="",H423="",E423=""),0,MAX(0,ROUND((H423-E423)*1440,0)))</f>
      </c>
      <c r="O423" s="25">
        <f>IF(OR(A423="",I423="",F423=""),0,MAX(0,ROUND((F423-I423)*1440,0)))</f>
      </c>
      <c r="P423" s="12">
        <f>IF(OR(L423="",M423=""),0,MAX(0,ROUND((M423-L423)*24-G423,2)))</f>
      </c>
      <c r="Q423" s="12">
        <f>IF(P423=0,0,MIN(P423,'00_Parametres'!$B$23))</f>
      </c>
      <c r="R423" s="12">
        <f>IF(P423=0,0,MAX(0,P423-'00_Parametres'!$B$23))</f>
      </c>
      <c r="S423" s="10"/>
      <c r="T423" s="10"/>
      <c r="U423" s="10"/>
    </row>
    <row r="424" spans="1:21" x14ac:dyDescent="0.25">
      <c r="A424" s="18"/>
      <c r="B424" s="18"/>
      <c r="C424" s="9">
        <f>IF(B424="","",IFERROR(VLOOKUP(B424,'01_Employes'!$A$6:$Q$30,4,FALSE),"⚠ ID inconnu"))</f>
      </c>
      <c r="D424" s="9">
        <f>IF(A424="","",TEXT(A424,"dddd"))</f>
      </c>
      <c r="E424" s="24">
        <f>IF(A424="","",IFERROR(INDEX('00_Parametres'!$C$7:$C$13,WEEKDAY(A424,2)),""))</f>
      </c>
      <c r="F424" s="24">
        <f>IF(A424="","",IFERROR(INDEX('00_Parametres'!$D$7:$D$13,WEEKDAY(A424,2)),""))</f>
      </c>
      <c r="G424" s="24">
        <f>IF(A424="","",IFERROR(INDEX('00_Parametres'!$E$7:$E$13,WEEKDAY(A424,2)),0))</f>
      </c>
      <c r="H424" s="11"/>
      <c r="I424" s="11"/>
      <c r="J424" s="11"/>
      <c r="K424" s="11"/>
      <c r="L424" s="12">
        <f>IF(OR(A424="",H424=""),"",IF(H424&lt;E424,IF(OR(J424="Oui",'00_Parametres'!$B$28="Oui"),H424,E424),H424))</f>
      </c>
      <c r="M424" s="12">
        <f>IF(OR(A424="",I424=""),"",IF(I424&gt;F424,IF(OR(K424="Oui",'00_Parametres'!$B$29="Oui"),I424,F424),I424))</f>
      </c>
      <c r="N424" s="25">
        <f>IF(OR(A424="",H424="",E424=""),0,MAX(0,ROUND((H424-E424)*1440,0)))</f>
      </c>
      <c r="O424" s="25">
        <f>IF(OR(A424="",I424="",F424=""),0,MAX(0,ROUND((F424-I424)*1440,0)))</f>
      </c>
      <c r="P424" s="12">
        <f>IF(OR(L424="",M424=""),0,MAX(0,ROUND((M424-L424)*24-G424,2)))</f>
      </c>
      <c r="Q424" s="12">
        <f>IF(P424=0,0,MIN(P424,'00_Parametres'!$B$23))</f>
      </c>
      <c r="R424" s="12">
        <f>IF(P424=0,0,MAX(0,P424-'00_Parametres'!$B$23))</f>
      </c>
      <c r="S424" s="10"/>
      <c r="T424" s="10"/>
      <c r="U424" s="10"/>
    </row>
    <row r="425" spans="1:21" x14ac:dyDescent="0.25">
      <c r="A425" s="18"/>
      <c r="B425" s="18"/>
      <c r="C425" s="9">
        <f>IF(B425="","",IFERROR(VLOOKUP(B425,'01_Employes'!$A$6:$Q$30,4,FALSE),"⚠ ID inconnu"))</f>
      </c>
      <c r="D425" s="9">
        <f>IF(A425="","",TEXT(A425,"dddd"))</f>
      </c>
      <c r="E425" s="24">
        <f>IF(A425="","",IFERROR(INDEX('00_Parametres'!$C$7:$C$13,WEEKDAY(A425,2)),""))</f>
      </c>
      <c r="F425" s="24">
        <f>IF(A425="","",IFERROR(INDEX('00_Parametres'!$D$7:$D$13,WEEKDAY(A425,2)),""))</f>
      </c>
      <c r="G425" s="24">
        <f>IF(A425="","",IFERROR(INDEX('00_Parametres'!$E$7:$E$13,WEEKDAY(A425,2)),0))</f>
      </c>
      <c r="H425" s="11"/>
      <c r="I425" s="11"/>
      <c r="J425" s="11"/>
      <c r="K425" s="11"/>
      <c r="L425" s="12">
        <f>IF(OR(A425="",H425=""),"",IF(H425&lt;E425,IF(OR(J425="Oui",'00_Parametres'!$B$28="Oui"),H425,E425),H425))</f>
      </c>
      <c r="M425" s="12">
        <f>IF(OR(A425="",I425=""),"",IF(I425&gt;F425,IF(OR(K425="Oui",'00_Parametres'!$B$29="Oui"),I425,F425),I425))</f>
      </c>
      <c r="N425" s="25">
        <f>IF(OR(A425="",H425="",E425=""),0,MAX(0,ROUND((H425-E425)*1440,0)))</f>
      </c>
      <c r="O425" s="25">
        <f>IF(OR(A425="",I425="",F425=""),0,MAX(0,ROUND((F425-I425)*1440,0)))</f>
      </c>
      <c r="P425" s="12">
        <f>IF(OR(L425="",M425=""),0,MAX(0,ROUND((M425-L425)*24-G425,2)))</f>
      </c>
      <c r="Q425" s="12">
        <f>IF(P425=0,0,MIN(P425,'00_Parametres'!$B$23))</f>
      </c>
      <c r="R425" s="12">
        <f>IF(P425=0,0,MAX(0,P425-'00_Parametres'!$B$23))</f>
      </c>
      <c r="S425" s="10"/>
      <c r="T425" s="10"/>
      <c r="U425" s="10"/>
    </row>
    <row r="426" spans="1:21" x14ac:dyDescent="0.25">
      <c r="A426" s="18"/>
      <c r="B426" s="18"/>
      <c r="C426" s="9">
        <f>IF(B426="","",IFERROR(VLOOKUP(B426,'01_Employes'!$A$6:$Q$30,4,FALSE),"⚠ ID inconnu"))</f>
      </c>
      <c r="D426" s="9">
        <f>IF(A426="","",TEXT(A426,"dddd"))</f>
      </c>
      <c r="E426" s="24">
        <f>IF(A426="","",IFERROR(INDEX('00_Parametres'!$C$7:$C$13,WEEKDAY(A426,2)),""))</f>
      </c>
      <c r="F426" s="24">
        <f>IF(A426="","",IFERROR(INDEX('00_Parametres'!$D$7:$D$13,WEEKDAY(A426,2)),""))</f>
      </c>
      <c r="G426" s="24">
        <f>IF(A426="","",IFERROR(INDEX('00_Parametres'!$E$7:$E$13,WEEKDAY(A426,2)),0))</f>
      </c>
      <c r="H426" s="11"/>
      <c r="I426" s="11"/>
      <c r="J426" s="11"/>
      <c r="K426" s="11"/>
      <c r="L426" s="12">
        <f>IF(OR(A426="",H426=""),"",IF(H426&lt;E426,IF(OR(J426="Oui",'00_Parametres'!$B$28="Oui"),H426,E426),H426))</f>
      </c>
      <c r="M426" s="12">
        <f>IF(OR(A426="",I426=""),"",IF(I426&gt;F426,IF(OR(K426="Oui",'00_Parametres'!$B$29="Oui"),I426,F426),I426))</f>
      </c>
      <c r="N426" s="25">
        <f>IF(OR(A426="",H426="",E426=""),0,MAX(0,ROUND((H426-E426)*1440,0)))</f>
      </c>
      <c r="O426" s="25">
        <f>IF(OR(A426="",I426="",F426=""),0,MAX(0,ROUND((F426-I426)*1440,0)))</f>
      </c>
      <c r="P426" s="12">
        <f>IF(OR(L426="",M426=""),0,MAX(0,ROUND((M426-L426)*24-G426,2)))</f>
      </c>
      <c r="Q426" s="12">
        <f>IF(P426=0,0,MIN(P426,'00_Parametres'!$B$23))</f>
      </c>
      <c r="R426" s="12">
        <f>IF(P426=0,0,MAX(0,P426-'00_Parametres'!$B$23))</f>
      </c>
      <c r="S426" s="10"/>
      <c r="T426" s="10"/>
      <c r="U426" s="10"/>
    </row>
    <row r="427" spans="1:21" x14ac:dyDescent="0.25">
      <c r="A427" s="18"/>
      <c r="B427" s="18"/>
      <c r="C427" s="9">
        <f>IF(B427="","",IFERROR(VLOOKUP(B427,'01_Employes'!$A$6:$Q$30,4,FALSE),"⚠ ID inconnu"))</f>
      </c>
      <c r="D427" s="9">
        <f>IF(A427="","",TEXT(A427,"dddd"))</f>
      </c>
      <c r="E427" s="24">
        <f>IF(A427="","",IFERROR(INDEX('00_Parametres'!$C$7:$C$13,WEEKDAY(A427,2)),""))</f>
      </c>
      <c r="F427" s="24">
        <f>IF(A427="","",IFERROR(INDEX('00_Parametres'!$D$7:$D$13,WEEKDAY(A427,2)),""))</f>
      </c>
      <c r="G427" s="24">
        <f>IF(A427="","",IFERROR(INDEX('00_Parametres'!$E$7:$E$13,WEEKDAY(A427,2)),0))</f>
      </c>
      <c r="H427" s="11"/>
      <c r="I427" s="11"/>
      <c r="J427" s="11"/>
      <c r="K427" s="11"/>
      <c r="L427" s="12">
        <f>IF(OR(A427="",H427=""),"",IF(H427&lt;E427,IF(OR(J427="Oui",'00_Parametres'!$B$28="Oui"),H427,E427),H427))</f>
      </c>
      <c r="M427" s="12">
        <f>IF(OR(A427="",I427=""),"",IF(I427&gt;F427,IF(OR(K427="Oui",'00_Parametres'!$B$29="Oui"),I427,F427),I427))</f>
      </c>
      <c r="N427" s="25">
        <f>IF(OR(A427="",H427="",E427=""),0,MAX(0,ROUND((H427-E427)*1440,0)))</f>
      </c>
      <c r="O427" s="25">
        <f>IF(OR(A427="",I427="",F427=""),0,MAX(0,ROUND((F427-I427)*1440,0)))</f>
      </c>
      <c r="P427" s="12">
        <f>IF(OR(L427="",M427=""),0,MAX(0,ROUND((M427-L427)*24-G427,2)))</f>
      </c>
      <c r="Q427" s="12">
        <f>IF(P427=0,0,MIN(P427,'00_Parametres'!$B$23))</f>
      </c>
      <c r="R427" s="12">
        <f>IF(P427=0,0,MAX(0,P427-'00_Parametres'!$B$23))</f>
      </c>
      <c r="S427" s="10"/>
      <c r="T427" s="10"/>
      <c r="U427" s="10"/>
    </row>
    <row r="428" spans="1:21" x14ac:dyDescent="0.25">
      <c r="A428" s="18"/>
      <c r="B428" s="18"/>
      <c r="C428" s="9">
        <f>IF(B428="","",IFERROR(VLOOKUP(B428,'01_Employes'!$A$6:$Q$30,4,FALSE),"⚠ ID inconnu"))</f>
      </c>
      <c r="D428" s="9">
        <f>IF(A428="","",TEXT(A428,"dddd"))</f>
      </c>
      <c r="E428" s="24">
        <f>IF(A428="","",IFERROR(INDEX('00_Parametres'!$C$7:$C$13,WEEKDAY(A428,2)),""))</f>
      </c>
      <c r="F428" s="24">
        <f>IF(A428="","",IFERROR(INDEX('00_Parametres'!$D$7:$D$13,WEEKDAY(A428,2)),""))</f>
      </c>
      <c r="G428" s="24">
        <f>IF(A428="","",IFERROR(INDEX('00_Parametres'!$E$7:$E$13,WEEKDAY(A428,2)),0))</f>
      </c>
      <c r="H428" s="11"/>
      <c r="I428" s="11"/>
      <c r="J428" s="11"/>
      <c r="K428" s="11"/>
      <c r="L428" s="12">
        <f>IF(OR(A428="",H428=""),"",IF(H428&lt;E428,IF(OR(J428="Oui",'00_Parametres'!$B$28="Oui"),H428,E428),H428))</f>
      </c>
      <c r="M428" s="12">
        <f>IF(OR(A428="",I428=""),"",IF(I428&gt;F428,IF(OR(K428="Oui",'00_Parametres'!$B$29="Oui"),I428,F428),I428))</f>
      </c>
      <c r="N428" s="25">
        <f>IF(OR(A428="",H428="",E428=""),0,MAX(0,ROUND((H428-E428)*1440,0)))</f>
      </c>
      <c r="O428" s="25">
        <f>IF(OR(A428="",I428="",F428=""),0,MAX(0,ROUND((F428-I428)*1440,0)))</f>
      </c>
      <c r="P428" s="12">
        <f>IF(OR(L428="",M428=""),0,MAX(0,ROUND((M428-L428)*24-G428,2)))</f>
      </c>
      <c r="Q428" s="12">
        <f>IF(P428=0,0,MIN(P428,'00_Parametres'!$B$23))</f>
      </c>
      <c r="R428" s="12">
        <f>IF(P428=0,0,MAX(0,P428-'00_Parametres'!$B$23))</f>
      </c>
      <c r="S428" s="10"/>
      <c r="T428" s="10"/>
      <c r="U428" s="10"/>
    </row>
    <row r="429" spans="1:21" x14ac:dyDescent="0.25">
      <c r="A429" s="18"/>
      <c r="B429" s="18"/>
      <c r="C429" s="9">
        <f>IF(B429="","",IFERROR(VLOOKUP(B429,'01_Employes'!$A$6:$Q$30,4,FALSE),"⚠ ID inconnu"))</f>
      </c>
      <c r="D429" s="9">
        <f>IF(A429="","",TEXT(A429,"dddd"))</f>
      </c>
      <c r="E429" s="24">
        <f>IF(A429="","",IFERROR(INDEX('00_Parametres'!$C$7:$C$13,WEEKDAY(A429,2)),""))</f>
      </c>
      <c r="F429" s="24">
        <f>IF(A429="","",IFERROR(INDEX('00_Parametres'!$D$7:$D$13,WEEKDAY(A429,2)),""))</f>
      </c>
      <c r="G429" s="24">
        <f>IF(A429="","",IFERROR(INDEX('00_Parametres'!$E$7:$E$13,WEEKDAY(A429,2)),0))</f>
      </c>
      <c r="H429" s="11"/>
      <c r="I429" s="11"/>
      <c r="J429" s="11"/>
      <c r="K429" s="11"/>
      <c r="L429" s="12">
        <f>IF(OR(A429="",H429=""),"",IF(H429&lt;E429,IF(OR(J429="Oui",'00_Parametres'!$B$28="Oui"),H429,E429),H429))</f>
      </c>
      <c r="M429" s="12">
        <f>IF(OR(A429="",I429=""),"",IF(I429&gt;F429,IF(OR(K429="Oui",'00_Parametres'!$B$29="Oui"),I429,F429),I429))</f>
      </c>
      <c r="N429" s="25">
        <f>IF(OR(A429="",H429="",E429=""),0,MAX(0,ROUND((H429-E429)*1440,0)))</f>
      </c>
      <c r="O429" s="25">
        <f>IF(OR(A429="",I429="",F429=""),0,MAX(0,ROUND((F429-I429)*1440,0)))</f>
      </c>
      <c r="P429" s="12">
        <f>IF(OR(L429="",M429=""),0,MAX(0,ROUND((M429-L429)*24-G429,2)))</f>
      </c>
      <c r="Q429" s="12">
        <f>IF(P429=0,0,MIN(P429,'00_Parametres'!$B$23))</f>
      </c>
      <c r="R429" s="12">
        <f>IF(P429=0,0,MAX(0,P429-'00_Parametres'!$B$23))</f>
      </c>
      <c r="S429" s="10"/>
      <c r="T429" s="10"/>
      <c r="U429" s="10"/>
    </row>
    <row r="430" spans="1:21" x14ac:dyDescent="0.25">
      <c r="A430" s="18"/>
      <c r="B430" s="18"/>
      <c r="C430" s="9">
        <f>IF(B430="","",IFERROR(VLOOKUP(B430,'01_Employes'!$A$6:$Q$30,4,FALSE),"⚠ ID inconnu"))</f>
      </c>
      <c r="D430" s="9">
        <f>IF(A430="","",TEXT(A430,"dddd"))</f>
      </c>
      <c r="E430" s="24">
        <f>IF(A430="","",IFERROR(INDEX('00_Parametres'!$C$7:$C$13,WEEKDAY(A430,2)),""))</f>
      </c>
      <c r="F430" s="24">
        <f>IF(A430="","",IFERROR(INDEX('00_Parametres'!$D$7:$D$13,WEEKDAY(A430,2)),""))</f>
      </c>
      <c r="G430" s="24">
        <f>IF(A430="","",IFERROR(INDEX('00_Parametres'!$E$7:$E$13,WEEKDAY(A430,2)),0))</f>
      </c>
      <c r="H430" s="11"/>
      <c r="I430" s="11"/>
      <c r="J430" s="11"/>
      <c r="K430" s="11"/>
      <c r="L430" s="12">
        <f>IF(OR(A430="",H430=""),"",IF(H430&lt;E430,IF(OR(J430="Oui",'00_Parametres'!$B$28="Oui"),H430,E430),H430))</f>
      </c>
      <c r="M430" s="12">
        <f>IF(OR(A430="",I430=""),"",IF(I430&gt;F430,IF(OR(K430="Oui",'00_Parametres'!$B$29="Oui"),I430,F430),I430))</f>
      </c>
      <c r="N430" s="25">
        <f>IF(OR(A430="",H430="",E430=""),0,MAX(0,ROUND((H430-E430)*1440,0)))</f>
      </c>
      <c r="O430" s="25">
        <f>IF(OR(A430="",I430="",F430=""),0,MAX(0,ROUND((F430-I430)*1440,0)))</f>
      </c>
      <c r="P430" s="12">
        <f>IF(OR(L430="",M430=""),0,MAX(0,ROUND((M430-L430)*24-G430,2)))</f>
      </c>
      <c r="Q430" s="12">
        <f>IF(P430=0,0,MIN(P430,'00_Parametres'!$B$23))</f>
      </c>
      <c r="R430" s="12">
        <f>IF(P430=0,0,MAX(0,P430-'00_Parametres'!$B$23))</f>
      </c>
      <c r="S430" s="10"/>
      <c r="T430" s="10"/>
      <c r="U430" s="10"/>
    </row>
    <row r="431" spans="1:21" x14ac:dyDescent="0.25">
      <c r="A431" s="18"/>
      <c r="B431" s="18"/>
      <c r="C431" s="9">
        <f>IF(B431="","",IFERROR(VLOOKUP(B431,'01_Employes'!$A$6:$Q$30,4,FALSE),"⚠ ID inconnu"))</f>
      </c>
      <c r="D431" s="9">
        <f>IF(A431="","",TEXT(A431,"dddd"))</f>
      </c>
      <c r="E431" s="24">
        <f>IF(A431="","",IFERROR(INDEX('00_Parametres'!$C$7:$C$13,WEEKDAY(A431,2)),""))</f>
      </c>
      <c r="F431" s="24">
        <f>IF(A431="","",IFERROR(INDEX('00_Parametres'!$D$7:$D$13,WEEKDAY(A431,2)),""))</f>
      </c>
      <c r="G431" s="24">
        <f>IF(A431="","",IFERROR(INDEX('00_Parametres'!$E$7:$E$13,WEEKDAY(A431,2)),0))</f>
      </c>
      <c r="H431" s="11"/>
      <c r="I431" s="11"/>
      <c r="J431" s="11"/>
      <c r="K431" s="11"/>
      <c r="L431" s="12">
        <f>IF(OR(A431="",H431=""),"",IF(H431&lt;E431,IF(OR(J431="Oui",'00_Parametres'!$B$28="Oui"),H431,E431),H431))</f>
      </c>
      <c r="M431" s="12">
        <f>IF(OR(A431="",I431=""),"",IF(I431&gt;F431,IF(OR(K431="Oui",'00_Parametres'!$B$29="Oui"),I431,F431),I431))</f>
      </c>
      <c r="N431" s="25">
        <f>IF(OR(A431="",H431="",E431=""),0,MAX(0,ROUND((H431-E431)*1440,0)))</f>
      </c>
      <c r="O431" s="25">
        <f>IF(OR(A431="",I431="",F431=""),0,MAX(0,ROUND((F431-I431)*1440,0)))</f>
      </c>
      <c r="P431" s="12">
        <f>IF(OR(L431="",M431=""),0,MAX(0,ROUND((M431-L431)*24-G431,2)))</f>
      </c>
      <c r="Q431" s="12">
        <f>IF(P431=0,0,MIN(P431,'00_Parametres'!$B$23))</f>
      </c>
      <c r="R431" s="12">
        <f>IF(P431=0,0,MAX(0,P431-'00_Parametres'!$B$23))</f>
      </c>
      <c r="S431" s="10"/>
      <c r="T431" s="10"/>
      <c r="U431" s="10"/>
    </row>
    <row r="432" spans="1:21" x14ac:dyDescent="0.25">
      <c r="A432" s="18"/>
      <c r="B432" s="18"/>
      <c r="C432" s="9">
        <f>IF(B432="","",IFERROR(VLOOKUP(B432,'01_Employes'!$A$6:$Q$30,4,FALSE),"⚠ ID inconnu"))</f>
      </c>
      <c r="D432" s="9">
        <f>IF(A432="","",TEXT(A432,"dddd"))</f>
      </c>
      <c r="E432" s="24">
        <f>IF(A432="","",IFERROR(INDEX('00_Parametres'!$C$7:$C$13,WEEKDAY(A432,2)),""))</f>
      </c>
      <c r="F432" s="24">
        <f>IF(A432="","",IFERROR(INDEX('00_Parametres'!$D$7:$D$13,WEEKDAY(A432,2)),""))</f>
      </c>
      <c r="G432" s="24">
        <f>IF(A432="","",IFERROR(INDEX('00_Parametres'!$E$7:$E$13,WEEKDAY(A432,2)),0))</f>
      </c>
      <c r="H432" s="11"/>
      <c r="I432" s="11"/>
      <c r="J432" s="11"/>
      <c r="K432" s="11"/>
      <c r="L432" s="12">
        <f>IF(OR(A432="",H432=""),"",IF(H432&lt;E432,IF(OR(J432="Oui",'00_Parametres'!$B$28="Oui"),H432,E432),H432))</f>
      </c>
      <c r="M432" s="12">
        <f>IF(OR(A432="",I432=""),"",IF(I432&gt;F432,IF(OR(K432="Oui",'00_Parametres'!$B$29="Oui"),I432,F432),I432))</f>
      </c>
      <c r="N432" s="25">
        <f>IF(OR(A432="",H432="",E432=""),0,MAX(0,ROUND((H432-E432)*1440,0)))</f>
      </c>
      <c r="O432" s="25">
        <f>IF(OR(A432="",I432="",F432=""),0,MAX(0,ROUND((F432-I432)*1440,0)))</f>
      </c>
      <c r="P432" s="12">
        <f>IF(OR(L432="",M432=""),0,MAX(0,ROUND((M432-L432)*24-G432,2)))</f>
      </c>
      <c r="Q432" s="12">
        <f>IF(P432=0,0,MIN(P432,'00_Parametres'!$B$23))</f>
      </c>
      <c r="R432" s="12">
        <f>IF(P432=0,0,MAX(0,P432-'00_Parametres'!$B$23))</f>
      </c>
      <c r="S432" s="10"/>
      <c r="T432" s="10"/>
      <c r="U432" s="10"/>
    </row>
    <row r="433" spans="1:21" x14ac:dyDescent="0.25">
      <c r="A433" s="18"/>
      <c r="B433" s="18"/>
      <c r="C433" s="9">
        <f>IF(B433="","",IFERROR(VLOOKUP(B433,'01_Employes'!$A$6:$Q$30,4,FALSE),"⚠ ID inconnu"))</f>
      </c>
      <c r="D433" s="9">
        <f>IF(A433="","",TEXT(A433,"dddd"))</f>
      </c>
      <c r="E433" s="24">
        <f>IF(A433="","",IFERROR(INDEX('00_Parametres'!$C$7:$C$13,WEEKDAY(A433,2)),""))</f>
      </c>
      <c r="F433" s="24">
        <f>IF(A433="","",IFERROR(INDEX('00_Parametres'!$D$7:$D$13,WEEKDAY(A433,2)),""))</f>
      </c>
      <c r="G433" s="24">
        <f>IF(A433="","",IFERROR(INDEX('00_Parametres'!$E$7:$E$13,WEEKDAY(A433,2)),0))</f>
      </c>
      <c r="H433" s="11"/>
      <c r="I433" s="11"/>
      <c r="J433" s="11"/>
      <c r="K433" s="11"/>
      <c r="L433" s="12">
        <f>IF(OR(A433="",H433=""),"",IF(H433&lt;E433,IF(OR(J433="Oui",'00_Parametres'!$B$28="Oui"),H433,E433),H433))</f>
      </c>
      <c r="M433" s="12">
        <f>IF(OR(A433="",I433=""),"",IF(I433&gt;F433,IF(OR(K433="Oui",'00_Parametres'!$B$29="Oui"),I433,F433),I433))</f>
      </c>
      <c r="N433" s="25">
        <f>IF(OR(A433="",H433="",E433=""),0,MAX(0,ROUND((H433-E433)*1440,0)))</f>
      </c>
      <c r="O433" s="25">
        <f>IF(OR(A433="",I433="",F433=""),0,MAX(0,ROUND((F433-I433)*1440,0)))</f>
      </c>
      <c r="P433" s="12">
        <f>IF(OR(L433="",M433=""),0,MAX(0,ROUND((M433-L433)*24-G433,2)))</f>
      </c>
      <c r="Q433" s="12">
        <f>IF(P433=0,0,MIN(P433,'00_Parametres'!$B$23))</f>
      </c>
      <c r="R433" s="12">
        <f>IF(P433=0,0,MAX(0,P433-'00_Parametres'!$B$23))</f>
      </c>
      <c r="S433" s="10"/>
      <c r="T433" s="10"/>
      <c r="U433" s="10"/>
    </row>
    <row r="434" spans="1:21" x14ac:dyDescent="0.25">
      <c r="A434" s="18"/>
      <c r="B434" s="18"/>
      <c r="C434" s="9">
        <f>IF(B434="","",IFERROR(VLOOKUP(B434,'01_Employes'!$A$6:$Q$30,4,FALSE),"⚠ ID inconnu"))</f>
      </c>
      <c r="D434" s="9">
        <f>IF(A434="","",TEXT(A434,"dddd"))</f>
      </c>
      <c r="E434" s="24">
        <f>IF(A434="","",IFERROR(INDEX('00_Parametres'!$C$7:$C$13,WEEKDAY(A434,2)),""))</f>
      </c>
      <c r="F434" s="24">
        <f>IF(A434="","",IFERROR(INDEX('00_Parametres'!$D$7:$D$13,WEEKDAY(A434,2)),""))</f>
      </c>
      <c r="G434" s="24">
        <f>IF(A434="","",IFERROR(INDEX('00_Parametres'!$E$7:$E$13,WEEKDAY(A434,2)),0))</f>
      </c>
      <c r="H434" s="11"/>
      <c r="I434" s="11"/>
      <c r="J434" s="11"/>
      <c r="K434" s="11"/>
      <c r="L434" s="12">
        <f>IF(OR(A434="",H434=""),"",IF(H434&lt;E434,IF(OR(J434="Oui",'00_Parametres'!$B$28="Oui"),H434,E434),H434))</f>
      </c>
      <c r="M434" s="12">
        <f>IF(OR(A434="",I434=""),"",IF(I434&gt;F434,IF(OR(K434="Oui",'00_Parametres'!$B$29="Oui"),I434,F434),I434))</f>
      </c>
      <c r="N434" s="25">
        <f>IF(OR(A434="",H434="",E434=""),0,MAX(0,ROUND((H434-E434)*1440,0)))</f>
      </c>
      <c r="O434" s="25">
        <f>IF(OR(A434="",I434="",F434=""),0,MAX(0,ROUND((F434-I434)*1440,0)))</f>
      </c>
      <c r="P434" s="12">
        <f>IF(OR(L434="",M434=""),0,MAX(0,ROUND((M434-L434)*24-G434,2)))</f>
      </c>
      <c r="Q434" s="12">
        <f>IF(P434=0,0,MIN(P434,'00_Parametres'!$B$23))</f>
      </c>
      <c r="R434" s="12">
        <f>IF(P434=0,0,MAX(0,P434-'00_Parametres'!$B$23))</f>
      </c>
      <c r="S434" s="10"/>
      <c r="T434" s="10"/>
      <c r="U434" s="10"/>
    </row>
    <row r="435" spans="1:21" x14ac:dyDescent="0.25">
      <c r="A435" s="18"/>
      <c r="B435" s="18"/>
      <c r="C435" s="9">
        <f>IF(B435="","",IFERROR(VLOOKUP(B435,'01_Employes'!$A$6:$Q$30,4,FALSE),"⚠ ID inconnu"))</f>
      </c>
      <c r="D435" s="9">
        <f>IF(A435="","",TEXT(A435,"dddd"))</f>
      </c>
      <c r="E435" s="24">
        <f>IF(A435="","",IFERROR(INDEX('00_Parametres'!$C$7:$C$13,WEEKDAY(A435,2)),""))</f>
      </c>
      <c r="F435" s="24">
        <f>IF(A435="","",IFERROR(INDEX('00_Parametres'!$D$7:$D$13,WEEKDAY(A435,2)),""))</f>
      </c>
      <c r="G435" s="24">
        <f>IF(A435="","",IFERROR(INDEX('00_Parametres'!$E$7:$E$13,WEEKDAY(A435,2)),0))</f>
      </c>
      <c r="H435" s="11"/>
      <c r="I435" s="11"/>
      <c r="J435" s="11"/>
      <c r="K435" s="11"/>
      <c r="L435" s="12">
        <f>IF(OR(A435="",H435=""),"",IF(H435&lt;E435,IF(OR(J435="Oui",'00_Parametres'!$B$28="Oui"),H435,E435),H435))</f>
      </c>
      <c r="M435" s="12">
        <f>IF(OR(A435="",I435=""),"",IF(I435&gt;F435,IF(OR(K435="Oui",'00_Parametres'!$B$29="Oui"),I435,F435),I435))</f>
      </c>
      <c r="N435" s="25">
        <f>IF(OR(A435="",H435="",E435=""),0,MAX(0,ROUND((H435-E435)*1440,0)))</f>
      </c>
      <c r="O435" s="25">
        <f>IF(OR(A435="",I435="",F435=""),0,MAX(0,ROUND((F435-I435)*1440,0)))</f>
      </c>
      <c r="P435" s="12">
        <f>IF(OR(L435="",M435=""),0,MAX(0,ROUND((M435-L435)*24-G435,2)))</f>
      </c>
      <c r="Q435" s="12">
        <f>IF(P435=0,0,MIN(P435,'00_Parametres'!$B$23))</f>
      </c>
      <c r="R435" s="12">
        <f>IF(P435=0,0,MAX(0,P435-'00_Parametres'!$B$23))</f>
      </c>
      <c r="S435" s="10"/>
      <c r="T435" s="10"/>
      <c r="U435" s="10"/>
    </row>
    <row r="436" spans="1:21" x14ac:dyDescent="0.25">
      <c r="A436" s="18"/>
      <c r="B436" s="18"/>
      <c r="C436" s="9">
        <f>IF(B436="","",IFERROR(VLOOKUP(B436,'01_Employes'!$A$6:$Q$30,4,FALSE),"⚠ ID inconnu"))</f>
      </c>
      <c r="D436" s="9">
        <f>IF(A436="","",TEXT(A436,"dddd"))</f>
      </c>
      <c r="E436" s="24">
        <f>IF(A436="","",IFERROR(INDEX('00_Parametres'!$C$7:$C$13,WEEKDAY(A436,2)),""))</f>
      </c>
      <c r="F436" s="24">
        <f>IF(A436="","",IFERROR(INDEX('00_Parametres'!$D$7:$D$13,WEEKDAY(A436,2)),""))</f>
      </c>
      <c r="G436" s="24">
        <f>IF(A436="","",IFERROR(INDEX('00_Parametres'!$E$7:$E$13,WEEKDAY(A436,2)),0))</f>
      </c>
      <c r="H436" s="11"/>
      <c r="I436" s="11"/>
      <c r="J436" s="11"/>
      <c r="K436" s="11"/>
      <c r="L436" s="12">
        <f>IF(OR(A436="",H436=""),"",IF(H436&lt;E436,IF(OR(J436="Oui",'00_Parametres'!$B$28="Oui"),H436,E436),H436))</f>
      </c>
      <c r="M436" s="12">
        <f>IF(OR(A436="",I436=""),"",IF(I436&gt;F436,IF(OR(K436="Oui",'00_Parametres'!$B$29="Oui"),I436,F436),I436))</f>
      </c>
      <c r="N436" s="25">
        <f>IF(OR(A436="",H436="",E436=""),0,MAX(0,ROUND((H436-E436)*1440,0)))</f>
      </c>
      <c r="O436" s="25">
        <f>IF(OR(A436="",I436="",F436=""),0,MAX(0,ROUND((F436-I436)*1440,0)))</f>
      </c>
      <c r="P436" s="12">
        <f>IF(OR(L436="",M436=""),0,MAX(0,ROUND((M436-L436)*24-G436,2)))</f>
      </c>
      <c r="Q436" s="12">
        <f>IF(P436=0,0,MIN(P436,'00_Parametres'!$B$23))</f>
      </c>
      <c r="R436" s="12">
        <f>IF(P436=0,0,MAX(0,P436-'00_Parametres'!$B$23))</f>
      </c>
      <c r="S436" s="10"/>
      <c r="T436" s="10"/>
      <c r="U436" s="10"/>
    </row>
    <row r="437" spans="1:21" x14ac:dyDescent="0.25">
      <c r="A437" s="18"/>
      <c r="B437" s="18"/>
      <c r="C437" s="9">
        <f>IF(B437="","",IFERROR(VLOOKUP(B437,'01_Employes'!$A$6:$Q$30,4,FALSE),"⚠ ID inconnu"))</f>
      </c>
      <c r="D437" s="9">
        <f>IF(A437="","",TEXT(A437,"dddd"))</f>
      </c>
      <c r="E437" s="24">
        <f>IF(A437="","",IFERROR(INDEX('00_Parametres'!$C$7:$C$13,WEEKDAY(A437,2)),""))</f>
      </c>
      <c r="F437" s="24">
        <f>IF(A437="","",IFERROR(INDEX('00_Parametres'!$D$7:$D$13,WEEKDAY(A437,2)),""))</f>
      </c>
      <c r="G437" s="24">
        <f>IF(A437="","",IFERROR(INDEX('00_Parametres'!$E$7:$E$13,WEEKDAY(A437,2)),0))</f>
      </c>
      <c r="H437" s="11"/>
      <c r="I437" s="11"/>
      <c r="J437" s="11"/>
      <c r="K437" s="11"/>
      <c r="L437" s="12">
        <f>IF(OR(A437="",H437=""),"",IF(H437&lt;E437,IF(OR(J437="Oui",'00_Parametres'!$B$28="Oui"),H437,E437),H437))</f>
      </c>
      <c r="M437" s="12">
        <f>IF(OR(A437="",I437=""),"",IF(I437&gt;F437,IF(OR(K437="Oui",'00_Parametres'!$B$29="Oui"),I437,F437),I437))</f>
      </c>
      <c r="N437" s="25">
        <f>IF(OR(A437="",H437="",E437=""),0,MAX(0,ROUND((H437-E437)*1440,0)))</f>
      </c>
      <c r="O437" s="25">
        <f>IF(OR(A437="",I437="",F437=""),0,MAX(0,ROUND((F437-I437)*1440,0)))</f>
      </c>
      <c r="P437" s="12">
        <f>IF(OR(L437="",M437=""),0,MAX(0,ROUND((M437-L437)*24-G437,2)))</f>
      </c>
      <c r="Q437" s="12">
        <f>IF(P437=0,0,MIN(P437,'00_Parametres'!$B$23))</f>
      </c>
      <c r="R437" s="12">
        <f>IF(P437=0,0,MAX(0,P437-'00_Parametres'!$B$23))</f>
      </c>
      <c r="S437" s="10"/>
      <c r="T437" s="10"/>
      <c r="U437" s="10"/>
    </row>
    <row r="438" spans="1:21" x14ac:dyDescent="0.25">
      <c r="A438" s="18"/>
      <c r="B438" s="18"/>
      <c r="C438" s="9">
        <f>IF(B438="","",IFERROR(VLOOKUP(B438,'01_Employes'!$A$6:$Q$30,4,FALSE),"⚠ ID inconnu"))</f>
      </c>
      <c r="D438" s="9">
        <f>IF(A438="","",TEXT(A438,"dddd"))</f>
      </c>
      <c r="E438" s="24">
        <f>IF(A438="","",IFERROR(INDEX('00_Parametres'!$C$7:$C$13,WEEKDAY(A438,2)),""))</f>
      </c>
      <c r="F438" s="24">
        <f>IF(A438="","",IFERROR(INDEX('00_Parametres'!$D$7:$D$13,WEEKDAY(A438,2)),""))</f>
      </c>
      <c r="G438" s="24">
        <f>IF(A438="","",IFERROR(INDEX('00_Parametres'!$E$7:$E$13,WEEKDAY(A438,2)),0))</f>
      </c>
      <c r="H438" s="11"/>
      <c r="I438" s="11"/>
      <c r="J438" s="11"/>
      <c r="K438" s="11"/>
      <c r="L438" s="12">
        <f>IF(OR(A438="",H438=""),"",IF(H438&lt;E438,IF(OR(J438="Oui",'00_Parametres'!$B$28="Oui"),H438,E438),H438))</f>
      </c>
      <c r="M438" s="12">
        <f>IF(OR(A438="",I438=""),"",IF(I438&gt;F438,IF(OR(K438="Oui",'00_Parametres'!$B$29="Oui"),I438,F438),I438))</f>
      </c>
      <c r="N438" s="25">
        <f>IF(OR(A438="",H438="",E438=""),0,MAX(0,ROUND((H438-E438)*1440,0)))</f>
      </c>
      <c r="O438" s="25">
        <f>IF(OR(A438="",I438="",F438=""),0,MAX(0,ROUND((F438-I438)*1440,0)))</f>
      </c>
      <c r="P438" s="12">
        <f>IF(OR(L438="",M438=""),0,MAX(0,ROUND((M438-L438)*24-G438,2)))</f>
      </c>
      <c r="Q438" s="12">
        <f>IF(P438=0,0,MIN(P438,'00_Parametres'!$B$23))</f>
      </c>
      <c r="R438" s="12">
        <f>IF(P438=0,0,MAX(0,P438-'00_Parametres'!$B$23))</f>
      </c>
      <c r="S438" s="10"/>
      <c r="T438" s="10"/>
      <c r="U438" s="10"/>
    </row>
    <row r="439" spans="1:21" x14ac:dyDescent="0.25">
      <c r="A439" s="18"/>
      <c r="B439" s="18"/>
      <c r="C439" s="9">
        <f>IF(B439="","",IFERROR(VLOOKUP(B439,'01_Employes'!$A$6:$Q$30,4,FALSE),"⚠ ID inconnu"))</f>
      </c>
      <c r="D439" s="9">
        <f>IF(A439="","",TEXT(A439,"dddd"))</f>
      </c>
      <c r="E439" s="24">
        <f>IF(A439="","",IFERROR(INDEX('00_Parametres'!$C$7:$C$13,WEEKDAY(A439,2)),""))</f>
      </c>
      <c r="F439" s="24">
        <f>IF(A439="","",IFERROR(INDEX('00_Parametres'!$D$7:$D$13,WEEKDAY(A439,2)),""))</f>
      </c>
      <c r="G439" s="24">
        <f>IF(A439="","",IFERROR(INDEX('00_Parametres'!$E$7:$E$13,WEEKDAY(A439,2)),0))</f>
      </c>
      <c r="H439" s="11"/>
      <c r="I439" s="11"/>
      <c r="J439" s="11"/>
      <c r="K439" s="11"/>
      <c r="L439" s="12">
        <f>IF(OR(A439="",H439=""),"",IF(H439&lt;E439,IF(OR(J439="Oui",'00_Parametres'!$B$28="Oui"),H439,E439),H439))</f>
      </c>
      <c r="M439" s="12">
        <f>IF(OR(A439="",I439=""),"",IF(I439&gt;F439,IF(OR(K439="Oui",'00_Parametres'!$B$29="Oui"),I439,F439),I439))</f>
      </c>
      <c r="N439" s="25">
        <f>IF(OR(A439="",H439="",E439=""),0,MAX(0,ROUND((H439-E439)*1440,0)))</f>
      </c>
      <c r="O439" s="25">
        <f>IF(OR(A439="",I439="",F439=""),0,MAX(0,ROUND((F439-I439)*1440,0)))</f>
      </c>
      <c r="P439" s="12">
        <f>IF(OR(L439="",M439=""),0,MAX(0,ROUND((M439-L439)*24-G439,2)))</f>
      </c>
      <c r="Q439" s="12">
        <f>IF(P439=0,0,MIN(P439,'00_Parametres'!$B$23))</f>
      </c>
      <c r="R439" s="12">
        <f>IF(P439=0,0,MAX(0,P439-'00_Parametres'!$B$23))</f>
      </c>
      <c r="S439" s="10"/>
      <c r="T439" s="10"/>
      <c r="U439" s="10"/>
    </row>
    <row r="440" spans="1:21" x14ac:dyDescent="0.25">
      <c r="A440" s="18"/>
      <c r="B440" s="18"/>
      <c r="C440" s="9">
        <f>IF(B440="","",IFERROR(VLOOKUP(B440,'01_Employes'!$A$6:$Q$30,4,FALSE),"⚠ ID inconnu"))</f>
      </c>
      <c r="D440" s="9">
        <f>IF(A440="","",TEXT(A440,"dddd"))</f>
      </c>
      <c r="E440" s="24">
        <f>IF(A440="","",IFERROR(INDEX('00_Parametres'!$C$7:$C$13,WEEKDAY(A440,2)),""))</f>
      </c>
      <c r="F440" s="24">
        <f>IF(A440="","",IFERROR(INDEX('00_Parametres'!$D$7:$D$13,WEEKDAY(A440,2)),""))</f>
      </c>
      <c r="G440" s="24">
        <f>IF(A440="","",IFERROR(INDEX('00_Parametres'!$E$7:$E$13,WEEKDAY(A440,2)),0))</f>
      </c>
      <c r="H440" s="11"/>
      <c r="I440" s="11"/>
      <c r="J440" s="11"/>
      <c r="K440" s="11"/>
      <c r="L440" s="12">
        <f>IF(OR(A440="",H440=""),"",IF(H440&lt;E440,IF(OR(J440="Oui",'00_Parametres'!$B$28="Oui"),H440,E440),H440))</f>
      </c>
      <c r="M440" s="12">
        <f>IF(OR(A440="",I440=""),"",IF(I440&gt;F440,IF(OR(K440="Oui",'00_Parametres'!$B$29="Oui"),I440,F440),I440))</f>
      </c>
      <c r="N440" s="25">
        <f>IF(OR(A440="",H440="",E440=""),0,MAX(0,ROUND((H440-E440)*1440,0)))</f>
      </c>
      <c r="O440" s="25">
        <f>IF(OR(A440="",I440="",F440=""),0,MAX(0,ROUND((F440-I440)*1440,0)))</f>
      </c>
      <c r="P440" s="12">
        <f>IF(OR(L440="",M440=""),0,MAX(0,ROUND((M440-L440)*24-G440,2)))</f>
      </c>
      <c r="Q440" s="12">
        <f>IF(P440=0,0,MIN(P440,'00_Parametres'!$B$23))</f>
      </c>
      <c r="R440" s="12">
        <f>IF(P440=0,0,MAX(0,P440-'00_Parametres'!$B$23))</f>
      </c>
      <c r="S440" s="10"/>
      <c r="T440" s="10"/>
      <c r="U440" s="10"/>
    </row>
    <row r="441" spans="1:21" x14ac:dyDescent="0.25">
      <c r="A441" s="18"/>
      <c r="B441" s="18"/>
      <c r="C441" s="9">
        <f>IF(B441="","",IFERROR(VLOOKUP(B441,'01_Employes'!$A$6:$Q$30,4,FALSE),"⚠ ID inconnu"))</f>
      </c>
      <c r="D441" s="9">
        <f>IF(A441="","",TEXT(A441,"dddd"))</f>
      </c>
      <c r="E441" s="24">
        <f>IF(A441="","",IFERROR(INDEX('00_Parametres'!$C$7:$C$13,WEEKDAY(A441,2)),""))</f>
      </c>
      <c r="F441" s="24">
        <f>IF(A441="","",IFERROR(INDEX('00_Parametres'!$D$7:$D$13,WEEKDAY(A441,2)),""))</f>
      </c>
      <c r="G441" s="24">
        <f>IF(A441="","",IFERROR(INDEX('00_Parametres'!$E$7:$E$13,WEEKDAY(A441,2)),0))</f>
      </c>
      <c r="H441" s="11"/>
      <c r="I441" s="11"/>
      <c r="J441" s="11"/>
      <c r="K441" s="11"/>
      <c r="L441" s="12">
        <f>IF(OR(A441="",H441=""),"",IF(H441&lt;E441,IF(OR(J441="Oui",'00_Parametres'!$B$28="Oui"),H441,E441),H441))</f>
      </c>
      <c r="M441" s="12">
        <f>IF(OR(A441="",I441=""),"",IF(I441&gt;F441,IF(OR(K441="Oui",'00_Parametres'!$B$29="Oui"),I441,F441),I441))</f>
      </c>
      <c r="N441" s="25">
        <f>IF(OR(A441="",H441="",E441=""),0,MAX(0,ROUND((H441-E441)*1440,0)))</f>
      </c>
      <c r="O441" s="25">
        <f>IF(OR(A441="",I441="",F441=""),0,MAX(0,ROUND((F441-I441)*1440,0)))</f>
      </c>
      <c r="P441" s="12">
        <f>IF(OR(L441="",M441=""),0,MAX(0,ROUND((M441-L441)*24-G441,2)))</f>
      </c>
      <c r="Q441" s="12">
        <f>IF(P441=0,0,MIN(P441,'00_Parametres'!$B$23))</f>
      </c>
      <c r="R441" s="12">
        <f>IF(P441=0,0,MAX(0,P441-'00_Parametres'!$B$23))</f>
      </c>
      <c r="S441" s="10"/>
      <c r="T441" s="10"/>
      <c r="U441" s="10"/>
    </row>
    <row r="442" spans="1:21" x14ac:dyDescent="0.25">
      <c r="A442" s="18"/>
      <c r="B442" s="18"/>
      <c r="C442" s="9">
        <f>IF(B442="","",IFERROR(VLOOKUP(B442,'01_Employes'!$A$6:$Q$30,4,FALSE),"⚠ ID inconnu"))</f>
      </c>
      <c r="D442" s="9">
        <f>IF(A442="","",TEXT(A442,"dddd"))</f>
      </c>
      <c r="E442" s="24">
        <f>IF(A442="","",IFERROR(INDEX('00_Parametres'!$C$7:$C$13,WEEKDAY(A442,2)),""))</f>
      </c>
      <c r="F442" s="24">
        <f>IF(A442="","",IFERROR(INDEX('00_Parametres'!$D$7:$D$13,WEEKDAY(A442,2)),""))</f>
      </c>
      <c r="G442" s="24">
        <f>IF(A442="","",IFERROR(INDEX('00_Parametres'!$E$7:$E$13,WEEKDAY(A442,2)),0))</f>
      </c>
      <c r="H442" s="11"/>
      <c r="I442" s="11"/>
      <c r="J442" s="11"/>
      <c r="K442" s="11"/>
      <c r="L442" s="12">
        <f>IF(OR(A442="",H442=""),"",IF(H442&lt;E442,IF(OR(J442="Oui",'00_Parametres'!$B$28="Oui"),H442,E442),H442))</f>
      </c>
      <c r="M442" s="12">
        <f>IF(OR(A442="",I442=""),"",IF(I442&gt;F442,IF(OR(K442="Oui",'00_Parametres'!$B$29="Oui"),I442,F442),I442))</f>
      </c>
      <c r="N442" s="25">
        <f>IF(OR(A442="",H442="",E442=""),0,MAX(0,ROUND((H442-E442)*1440,0)))</f>
      </c>
      <c r="O442" s="25">
        <f>IF(OR(A442="",I442="",F442=""),0,MAX(0,ROUND((F442-I442)*1440,0)))</f>
      </c>
      <c r="P442" s="12">
        <f>IF(OR(L442="",M442=""),0,MAX(0,ROUND((M442-L442)*24-G442,2)))</f>
      </c>
      <c r="Q442" s="12">
        <f>IF(P442=0,0,MIN(P442,'00_Parametres'!$B$23))</f>
      </c>
      <c r="R442" s="12">
        <f>IF(P442=0,0,MAX(0,P442-'00_Parametres'!$B$23))</f>
      </c>
      <c r="S442" s="10"/>
      <c r="T442" s="10"/>
      <c r="U442" s="10"/>
    </row>
    <row r="443" spans="1:21" x14ac:dyDescent="0.25">
      <c r="A443" s="18"/>
      <c r="B443" s="18"/>
      <c r="C443" s="9">
        <f>IF(B443="","",IFERROR(VLOOKUP(B443,'01_Employes'!$A$6:$Q$30,4,FALSE),"⚠ ID inconnu"))</f>
      </c>
      <c r="D443" s="9">
        <f>IF(A443="","",TEXT(A443,"dddd"))</f>
      </c>
      <c r="E443" s="24">
        <f>IF(A443="","",IFERROR(INDEX('00_Parametres'!$C$7:$C$13,WEEKDAY(A443,2)),""))</f>
      </c>
      <c r="F443" s="24">
        <f>IF(A443="","",IFERROR(INDEX('00_Parametres'!$D$7:$D$13,WEEKDAY(A443,2)),""))</f>
      </c>
      <c r="G443" s="24">
        <f>IF(A443="","",IFERROR(INDEX('00_Parametres'!$E$7:$E$13,WEEKDAY(A443,2)),0))</f>
      </c>
      <c r="H443" s="11"/>
      <c r="I443" s="11"/>
      <c r="J443" s="11"/>
      <c r="K443" s="11"/>
      <c r="L443" s="12">
        <f>IF(OR(A443="",H443=""),"",IF(H443&lt;E443,IF(OR(J443="Oui",'00_Parametres'!$B$28="Oui"),H443,E443),H443))</f>
      </c>
      <c r="M443" s="12">
        <f>IF(OR(A443="",I443=""),"",IF(I443&gt;F443,IF(OR(K443="Oui",'00_Parametres'!$B$29="Oui"),I443,F443),I443))</f>
      </c>
      <c r="N443" s="25">
        <f>IF(OR(A443="",H443="",E443=""),0,MAX(0,ROUND((H443-E443)*1440,0)))</f>
      </c>
      <c r="O443" s="25">
        <f>IF(OR(A443="",I443="",F443=""),0,MAX(0,ROUND((F443-I443)*1440,0)))</f>
      </c>
      <c r="P443" s="12">
        <f>IF(OR(L443="",M443=""),0,MAX(0,ROUND((M443-L443)*24-G443,2)))</f>
      </c>
      <c r="Q443" s="12">
        <f>IF(P443=0,0,MIN(P443,'00_Parametres'!$B$23))</f>
      </c>
      <c r="R443" s="12">
        <f>IF(P443=0,0,MAX(0,P443-'00_Parametres'!$B$23))</f>
      </c>
      <c r="S443" s="10"/>
      <c r="T443" s="10"/>
      <c r="U443" s="10"/>
    </row>
    <row r="444" spans="1:21" x14ac:dyDescent="0.25">
      <c r="A444" s="18"/>
      <c r="B444" s="18"/>
      <c r="C444" s="9">
        <f>IF(B444="","",IFERROR(VLOOKUP(B444,'01_Employes'!$A$6:$Q$30,4,FALSE),"⚠ ID inconnu"))</f>
      </c>
      <c r="D444" s="9">
        <f>IF(A444="","",TEXT(A444,"dddd"))</f>
      </c>
      <c r="E444" s="24">
        <f>IF(A444="","",IFERROR(INDEX('00_Parametres'!$C$7:$C$13,WEEKDAY(A444,2)),""))</f>
      </c>
      <c r="F444" s="24">
        <f>IF(A444="","",IFERROR(INDEX('00_Parametres'!$D$7:$D$13,WEEKDAY(A444,2)),""))</f>
      </c>
      <c r="G444" s="24">
        <f>IF(A444="","",IFERROR(INDEX('00_Parametres'!$E$7:$E$13,WEEKDAY(A444,2)),0))</f>
      </c>
      <c r="H444" s="11"/>
      <c r="I444" s="11"/>
      <c r="J444" s="11"/>
      <c r="K444" s="11"/>
      <c r="L444" s="12">
        <f>IF(OR(A444="",H444=""),"",IF(H444&lt;E444,IF(OR(J444="Oui",'00_Parametres'!$B$28="Oui"),H444,E444),H444))</f>
      </c>
      <c r="M444" s="12">
        <f>IF(OR(A444="",I444=""),"",IF(I444&gt;F444,IF(OR(K444="Oui",'00_Parametres'!$B$29="Oui"),I444,F444),I444))</f>
      </c>
      <c r="N444" s="25">
        <f>IF(OR(A444="",H444="",E444=""),0,MAX(0,ROUND((H444-E444)*1440,0)))</f>
      </c>
      <c r="O444" s="25">
        <f>IF(OR(A444="",I444="",F444=""),0,MAX(0,ROUND((F444-I444)*1440,0)))</f>
      </c>
      <c r="P444" s="12">
        <f>IF(OR(L444="",M444=""),0,MAX(0,ROUND((M444-L444)*24-G444,2)))</f>
      </c>
      <c r="Q444" s="12">
        <f>IF(P444=0,0,MIN(P444,'00_Parametres'!$B$23))</f>
      </c>
      <c r="R444" s="12">
        <f>IF(P444=0,0,MAX(0,P444-'00_Parametres'!$B$23))</f>
      </c>
      <c r="S444" s="10"/>
      <c r="T444" s="10"/>
      <c r="U444" s="10"/>
    </row>
    <row r="445" spans="1:21" x14ac:dyDescent="0.25">
      <c r="A445" s="18"/>
      <c r="B445" s="18"/>
      <c r="C445" s="9">
        <f>IF(B445="","",IFERROR(VLOOKUP(B445,'01_Employes'!$A$6:$Q$30,4,FALSE),"⚠ ID inconnu"))</f>
      </c>
      <c r="D445" s="9">
        <f>IF(A445="","",TEXT(A445,"dddd"))</f>
      </c>
      <c r="E445" s="24">
        <f>IF(A445="","",IFERROR(INDEX('00_Parametres'!$C$7:$C$13,WEEKDAY(A445,2)),""))</f>
      </c>
      <c r="F445" s="24">
        <f>IF(A445="","",IFERROR(INDEX('00_Parametres'!$D$7:$D$13,WEEKDAY(A445,2)),""))</f>
      </c>
      <c r="G445" s="24">
        <f>IF(A445="","",IFERROR(INDEX('00_Parametres'!$E$7:$E$13,WEEKDAY(A445,2)),0))</f>
      </c>
      <c r="H445" s="11"/>
      <c r="I445" s="11"/>
      <c r="J445" s="11"/>
      <c r="K445" s="11"/>
      <c r="L445" s="12">
        <f>IF(OR(A445="",H445=""),"",IF(H445&lt;E445,IF(OR(J445="Oui",'00_Parametres'!$B$28="Oui"),H445,E445),H445))</f>
      </c>
      <c r="M445" s="12">
        <f>IF(OR(A445="",I445=""),"",IF(I445&gt;F445,IF(OR(K445="Oui",'00_Parametres'!$B$29="Oui"),I445,F445),I445))</f>
      </c>
      <c r="N445" s="25">
        <f>IF(OR(A445="",H445="",E445=""),0,MAX(0,ROUND((H445-E445)*1440,0)))</f>
      </c>
      <c r="O445" s="25">
        <f>IF(OR(A445="",I445="",F445=""),0,MAX(0,ROUND((F445-I445)*1440,0)))</f>
      </c>
      <c r="P445" s="12">
        <f>IF(OR(L445="",M445=""),0,MAX(0,ROUND((M445-L445)*24-G445,2)))</f>
      </c>
      <c r="Q445" s="12">
        <f>IF(P445=0,0,MIN(P445,'00_Parametres'!$B$23))</f>
      </c>
      <c r="R445" s="12">
        <f>IF(P445=0,0,MAX(0,P445-'00_Parametres'!$B$23))</f>
      </c>
      <c r="S445" s="10"/>
      <c r="T445" s="10"/>
      <c r="U445" s="10"/>
    </row>
    <row r="446" spans="1:21" x14ac:dyDescent="0.25">
      <c r="A446" s="18"/>
      <c r="B446" s="18"/>
      <c r="C446" s="9">
        <f>IF(B446="","",IFERROR(VLOOKUP(B446,'01_Employes'!$A$6:$Q$30,4,FALSE),"⚠ ID inconnu"))</f>
      </c>
      <c r="D446" s="9">
        <f>IF(A446="","",TEXT(A446,"dddd"))</f>
      </c>
      <c r="E446" s="24">
        <f>IF(A446="","",IFERROR(INDEX('00_Parametres'!$C$7:$C$13,WEEKDAY(A446,2)),""))</f>
      </c>
      <c r="F446" s="24">
        <f>IF(A446="","",IFERROR(INDEX('00_Parametres'!$D$7:$D$13,WEEKDAY(A446,2)),""))</f>
      </c>
      <c r="G446" s="24">
        <f>IF(A446="","",IFERROR(INDEX('00_Parametres'!$E$7:$E$13,WEEKDAY(A446,2)),0))</f>
      </c>
      <c r="H446" s="11"/>
      <c r="I446" s="11"/>
      <c r="J446" s="11"/>
      <c r="K446" s="11"/>
      <c r="L446" s="12">
        <f>IF(OR(A446="",H446=""),"",IF(H446&lt;E446,IF(OR(J446="Oui",'00_Parametres'!$B$28="Oui"),H446,E446),H446))</f>
      </c>
      <c r="M446" s="12">
        <f>IF(OR(A446="",I446=""),"",IF(I446&gt;F446,IF(OR(K446="Oui",'00_Parametres'!$B$29="Oui"),I446,F446),I446))</f>
      </c>
      <c r="N446" s="25">
        <f>IF(OR(A446="",H446="",E446=""),0,MAX(0,ROUND((H446-E446)*1440,0)))</f>
      </c>
      <c r="O446" s="25">
        <f>IF(OR(A446="",I446="",F446=""),0,MAX(0,ROUND((F446-I446)*1440,0)))</f>
      </c>
      <c r="P446" s="12">
        <f>IF(OR(L446="",M446=""),0,MAX(0,ROUND((M446-L446)*24-G446,2)))</f>
      </c>
      <c r="Q446" s="12">
        <f>IF(P446=0,0,MIN(P446,'00_Parametres'!$B$23))</f>
      </c>
      <c r="R446" s="12">
        <f>IF(P446=0,0,MAX(0,P446-'00_Parametres'!$B$23))</f>
      </c>
      <c r="S446" s="10"/>
      <c r="T446" s="10"/>
      <c r="U446" s="10"/>
    </row>
    <row r="447" spans="1:21" x14ac:dyDescent="0.25">
      <c r="A447" s="18"/>
      <c r="B447" s="18"/>
      <c r="C447" s="9">
        <f>IF(B447="","",IFERROR(VLOOKUP(B447,'01_Employes'!$A$6:$Q$30,4,FALSE),"⚠ ID inconnu"))</f>
      </c>
      <c r="D447" s="9">
        <f>IF(A447="","",TEXT(A447,"dddd"))</f>
      </c>
      <c r="E447" s="24">
        <f>IF(A447="","",IFERROR(INDEX('00_Parametres'!$C$7:$C$13,WEEKDAY(A447,2)),""))</f>
      </c>
      <c r="F447" s="24">
        <f>IF(A447="","",IFERROR(INDEX('00_Parametres'!$D$7:$D$13,WEEKDAY(A447,2)),""))</f>
      </c>
      <c r="G447" s="24">
        <f>IF(A447="","",IFERROR(INDEX('00_Parametres'!$E$7:$E$13,WEEKDAY(A447,2)),0))</f>
      </c>
      <c r="H447" s="11"/>
      <c r="I447" s="11"/>
      <c r="J447" s="11"/>
      <c r="K447" s="11"/>
      <c r="L447" s="12">
        <f>IF(OR(A447="",H447=""),"",IF(H447&lt;E447,IF(OR(J447="Oui",'00_Parametres'!$B$28="Oui"),H447,E447),H447))</f>
      </c>
      <c r="M447" s="12">
        <f>IF(OR(A447="",I447=""),"",IF(I447&gt;F447,IF(OR(K447="Oui",'00_Parametres'!$B$29="Oui"),I447,F447),I447))</f>
      </c>
      <c r="N447" s="25">
        <f>IF(OR(A447="",H447="",E447=""),0,MAX(0,ROUND((H447-E447)*1440,0)))</f>
      </c>
      <c r="O447" s="25">
        <f>IF(OR(A447="",I447="",F447=""),0,MAX(0,ROUND((F447-I447)*1440,0)))</f>
      </c>
      <c r="P447" s="12">
        <f>IF(OR(L447="",M447=""),0,MAX(0,ROUND((M447-L447)*24-G447,2)))</f>
      </c>
      <c r="Q447" s="12">
        <f>IF(P447=0,0,MIN(P447,'00_Parametres'!$B$23))</f>
      </c>
      <c r="R447" s="12">
        <f>IF(P447=0,0,MAX(0,P447-'00_Parametres'!$B$23))</f>
      </c>
      <c r="S447" s="10"/>
      <c r="T447" s="10"/>
      <c r="U447" s="10"/>
    </row>
    <row r="448" spans="1:21" x14ac:dyDescent="0.25">
      <c r="A448" s="18"/>
      <c r="B448" s="18"/>
      <c r="C448" s="9">
        <f>IF(B448="","",IFERROR(VLOOKUP(B448,'01_Employes'!$A$6:$Q$30,4,FALSE),"⚠ ID inconnu"))</f>
      </c>
      <c r="D448" s="9">
        <f>IF(A448="","",TEXT(A448,"dddd"))</f>
      </c>
      <c r="E448" s="24">
        <f>IF(A448="","",IFERROR(INDEX('00_Parametres'!$C$7:$C$13,WEEKDAY(A448,2)),""))</f>
      </c>
      <c r="F448" s="24">
        <f>IF(A448="","",IFERROR(INDEX('00_Parametres'!$D$7:$D$13,WEEKDAY(A448,2)),""))</f>
      </c>
      <c r="G448" s="24">
        <f>IF(A448="","",IFERROR(INDEX('00_Parametres'!$E$7:$E$13,WEEKDAY(A448,2)),0))</f>
      </c>
      <c r="H448" s="11"/>
      <c r="I448" s="11"/>
      <c r="J448" s="11"/>
      <c r="K448" s="11"/>
      <c r="L448" s="12">
        <f>IF(OR(A448="",H448=""),"",IF(H448&lt;E448,IF(OR(J448="Oui",'00_Parametres'!$B$28="Oui"),H448,E448),H448))</f>
      </c>
      <c r="M448" s="12">
        <f>IF(OR(A448="",I448=""),"",IF(I448&gt;F448,IF(OR(K448="Oui",'00_Parametres'!$B$29="Oui"),I448,F448),I448))</f>
      </c>
      <c r="N448" s="25">
        <f>IF(OR(A448="",H448="",E448=""),0,MAX(0,ROUND((H448-E448)*1440,0)))</f>
      </c>
      <c r="O448" s="25">
        <f>IF(OR(A448="",I448="",F448=""),0,MAX(0,ROUND((F448-I448)*1440,0)))</f>
      </c>
      <c r="P448" s="12">
        <f>IF(OR(L448="",M448=""),0,MAX(0,ROUND((M448-L448)*24-G448,2)))</f>
      </c>
      <c r="Q448" s="12">
        <f>IF(P448=0,0,MIN(P448,'00_Parametres'!$B$23))</f>
      </c>
      <c r="R448" s="12">
        <f>IF(P448=0,0,MAX(0,P448-'00_Parametres'!$B$23))</f>
      </c>
      <c r="S448" s="10"/>
      <c r="T448" s="10"/>
      <c r="U448" s="10"/>
    </row>
    <row r="449" spans="1:21" x14ac:dyDescent="0.25">
      <c r="A449" s="18"/>
      <c r="B449" s="18"/>
      <c r="C449" s="9">
        <f>IF(B449="","",IFERROR(VLOOKUP(B449,'01_Employes'!$A$6:$Q$30,4,FALSE),"⚠ ID inconnu"))</f>
      </c>
      <c r="D449" s="9">
        <f>IF(A449="","",TEXT(A449,"dddd"))</f>
      </c>
      <c r="E449" s="24">
        <f>IF(A449="","",IFERROR(INDEX('00_Parametres'!$C$7:$C$13,WEEKDAY(A449,2)),""))</f>
      </c>
      <c r="F449" s="24">
        <f>IF(A449="","",IFERROR(INDEX('00_Parametres'!$D$7:$D$13,WEEKDAY(A449,2)),""))</f>
      </c>
      <c r="G449" s="24">
        <f>IF(A449="","",IFERROR(INDEX('00_Parametres'!$E$7:$E$13,WEEKDAY(A449,2)),0))</f>
      </c>
      <c r="H449" s="11"/>
      <c r="I449" s="11"/>
      <c r="J449" s="11"/>
      <c r="K449" s="11"/>
      <c r="L449" s="12">
        <f>IF(OR(A449="",H449=""),"",IF(H449&lt;E449,IF(OR(J449="Oui",'00_Parametres'!$B$28="Oui"),H449,E449),H449))</f>
      </c>
      <c r="M449" s="12">
        <f>IF(OR(A449="",I449=""),"",IF(I449&gt;F449,IF(OR(K449="Oui",'00_Parametres'!$B$29="Oui"),I449,F449),I449))</f>
      </c>
      <c r="N449" s="25">
        <f>IF(OR(A449="",H449="",E449=""),0,MAX(0,ROUND((H449-E449)*1440,0)))</f>
      </c>
      <c r="O449" s="25">
        <f>IF(OR(A449="",I449="",F449=""),0,MAX(0,ROUND((F449-I449)*1440,0)))</f>
      </c>
      <c r="P449" s="12">
        <f>IF(OR(L449="",M449=""),0,MAX(0,ROUND((M449-L449)*24-G449,2)))</f>
      </c>
      <c r="Q449" s="12">
        <f>IF(P449=0,0,MIN(P449,'00_Parametres'!$B$23))</f>
      </c>
      <c r="R449" s="12">
        <f>IF(P449=0,0,MAX(0,P449-'00_Parametres'!$B$23))</f>
      </c>
      <c r="S449" s="10"/>
      <c r="T449" s="10"/>
      <c r="U449" s="10"/>
    </row>
    <row r="450" spans="1:21" x14ac:dyDescent="0.25">
      <c r="A450" s="18"/>
      <c r="B450" s="18"/>
      <c r="C450" s="9">
        <f>IF(B450="","",IFERROR(VLOOKUP(B450,'01_Employes'!$A$6:$Q$30,4,FALSE),"⚠ ID inconnu"))</f>
      </c>
      <c r="D450" s="9">
        <f>IF(A450="","",TEXT(A450,"dddd"))</f>
      </c>
      <c r="E450" s="24">
        <f>IF(A450="","",IFERROR(INDEX('00_Parametres'!$C$7:$C$13,WEEKDAY(A450,2)),""))</f>
      </c>
      <c r="F450" s="24">
        <f>IF(A450="","",IFERROR(INDEX('00_Parametres'!$D$7:$D$13,WEEKDAY(A450,2)),""))</f>
      </c>
      <c r="G450" s="24">
        <f>IF(A450="","",IFERROR(INDEX('00_Parametres'!$E$7:$E$13,WEEKDAY(A450,2)),0))</f>
      </c>
      <c r="H450" s="11"/>
      <c r="I450" s="11"/>
      <c r="J450" s="11"/>
      <c r="K450" s="11"/>
      <c r="L450" s="12">
        <f>IF(OR(A450="",H450=""),"",IF(H450&lt;E450,IF(OR(J450="Oui",'00_Parametres'!$B$28="Oui"),H450,E450),H450))</f>
      </c>
      <c r="M450" s="12">
        <f>IF(OR(A450="",I450=""),"",IF(I450&gt;F450,IF(OR(K450="Oui",'00_Parametres'!$B$29="Oui"),I450,F450),I450))</f>
      </c>
      <c r="N450" s="25">
        <f>IF(OR(A450="",H450="",E450=""),0,MAX(0,ROUND((H450-E450)*1440,0)))</f>
      </c>
      <c r="O450" s="25">
        <f>IF(OR(A450="",I450="",F450=""),0,MAX(0,ROUND((F450-I450)*1440,0)))</f>
      </c>
      <c r="P450" s="12">
        <f>IF(OR(L450="",M450=""),0,MAX(0,ROUND((M450-L450)*24-G450,2)))</f>
      </c>
      <c r="Q450" s="12">
        <f>IF(P450=0,0,MIN(P450,'00_Parametres'!$B$23))</f>
      </c>
      <c r="R450" s="12">
        <f>IF(P450=0,0,MAX(0,P450-'00_Parametres'!$B$23))</f>
      </c>
      <c r="S450" s="10"/>
      <c r="T450" s="10"/>
      <c r="U450" s="10"/>
    </row>
    <row r="451" spans="1:21" x14ac:dyDescent="0.25">
      <c r="A451" s="18"/>
      <c r="B451" s="18"/>
      <c r="C451" s="9">
        <f>IF(B451="","",IFERROR(VLOOKUP(B451,'01_Employes'!$A$6:$Q$30,4,FALSE),"⚠ ID inconnu"))</f>
      </c>
      <c r="D451" s="9">
        <f>IF(A451="","",TEXT(A451,"dddd"))</f>
      </c>
      <c r="E451" s="24">
        <f>IF(A451="","",IFERROR(INDEX('00_Parametres'!$C$7:$C$13,WEEKDAY(A451,2)),""))</f>
      </c>
      <c r="F451" s="24">
        <f>IF(A451="","",IFERROR(INDEX('00_Parametres'!$D$7:$D$13,WEEKDAY(A451,2)),""))</f>
      </c>
      <c r="G451" s="24">
        <f>IF(A451="","",IFERROR(INDEX('00_Parametres'!$E$7:$E$13,WEEKDAY(A451,2)),0))</f>
      </c>
      <c r="H451" s="11"/>
      <c r="I451" s="11"/>
      <c r="J451" s="11"/>
      <c r="K451" s="11"/>
      <c r="L451" s="12">
        <f>IF(OR(A451="",H451=""),"",IF(H451&lt;E451,IF(OR(J451="Oui",'00_Parametres'!$B$28="Oui"),H451,E451),H451))</f>
      </c>
      <c r="M451" s="12">
        <f>IF(OR(A451="",I451=""),"",IF(I451&gt;F451,IF(OR(K451="Oui",'00_Parametres'!$B$29="Oui"),I451,F451),I451))</f>
      </c>
      <c r="N451" s="25">
        <f>IF(OR(A451="",H451="",E451=""),0,MAX(0,ROUND((H451-E451)*1440,0)))</f>
      </c>
      <c r="O451" s="25">
        <f>IF(OR(A451="",I451="",F451=""),0,MAX(0,ROUND((F451-I451)*1440,0)))</f>
      </c>
      <c r="P451" s="12">
        <f>IF(OR(L451="",M451=""),0,MAX(0,ROUND((M451-L451)*24-G451,2)))</f>
      </c>
      <c r="Q451" s="12">
        <f>IF(P451=0,0,MIN(P451,'00_Parametres'!$B$23))</f>
      </c>
      <c r="R451" s="12">
        <f>IF(P451=0,0,MAX(0,P451-'00_Parametres'!$B$23))</f>
      </c>
      <c r="S451" s="10"/>
      <c r="T451" s="10"/>
      <c r="U451" s="10"/>
    </row>
    <row r="452" spans="1:21" x14ac:dyDescent="0.25">
      <c r="A452" s="18"/>
      <c r="B452" s="18"/>
      <c r="C452" s="9">
        <f>IF(B452="","",IFERROR(VLOOKUP(B452,'01_Employes'!$A$6:$Q$30,4,FALSE),"⚠ ID inconnu"))</f>
      </c>
      <c r="D452" s="9">
        <f>IF(A452="","",TEXT(A452,"dddd"))</f>
      </c>
      <c r="E452" s="24">
        <f>IF(A452="","",IFERROR(INDEX('00_Parametres'!$C$7:$C$13,WEEKDAY(A452,2)),""))</f>
      </c>
      <c r="F452" s="24">
        <f>IF(A452="","",IFERROR(INDEX('00_Parametres'!$D$7:$D$13,WEEKDAY(A452,2)),""))</f>
      </c>
      <c r="G452" s="24">
        <f>IF(A452="","",IFERROR(INDEX('00_Parametres'!$E$7:$E$13,WEEKDAY(A452,2)),0))</f>
      </c>
      <c r="H452" s="11"/>
      <c r="I452" s="11"/>
      <c r="J452" s="11"/>
      <c r="K452" s="11"/>
      <c r="L452" s="12">
        <f>IF(OR(A452="",H452=""),"",IF(H452&lt;E452,IF(OR(J452="Oui",'00_Parametres'!$B$28="Oui"),H452,E452),H452))</f>
      </c>
      <c r="M452" s="12">
        <f>IF(OR(A452="",I452=""),"",IF(I452&gt;F452,IF(OR(K452="Oui",'00_Parametres'!$B$29="Oui"),I452,F452),I452))</f>
      </c>
      <c r="N452" s="25">
        <f>IF(OR(A452="",H452="",E452=""),0,MAX(0,ROUND((H452-E452)*1440,0)))</f>
      </c>
      <c r="O452" s="25">
        <f>IF(OR(A452="",I452="",F452=""),0,MAX(0,ROUND((F452-I452)*1440,0)))</f>
      </c>
      <c r="P452" s="12">
        <f>IF(OR(L452="",M452=""),0,MAX(0,ROUND((M452-L452)*24-G452,2)))</f>
      </c>
      <c r="Q452" s="12">
        <f>IF(P452=0,0,MIN(P452,'00_Parametres'!$B$23))</f>
      </c>
      <c r="R452" s="12">
        <f>IF(P452=0,0,MAX(0,P452-'00_Parametres'!$B$23))</f>
      </c>
      <c r="S452" s="10"/>
      <c r="T452" s="10"/>
      <c r="U452" s="10"/>
    </row>
    <row r="453" spans="1:21" x14ac:dyDescent="0.25">
      <c r="A453" s="18"/>
      <c r="B453" s="18"/>
      <c r="C453" s="9">
        <f>IF(B453="","",IFERROR(VLOOKUP(B453,'01_Employes'!$A$6:$Q$30,4,FALSE),"⚠ ID inconnu"))</f>
      </c>
      <c r="D453" s="9">
        <f>IF(A453="","",TEXT(A453,"dddd"))</f>
      </c>
      <c r="E453" s="24">
        <f>IF(A453="","",IFERROR(INDEX('00_Parametres'!$C$7:$C$13,WEEKDAY(A453,2)),""))</f>
      </c>
      <c r="F453" s="24">
        <f>IF(A453="","",IFERROR(INDEX('00_Parametres'!$D$7:$D$13,WEEKDAY(A453,2)),""))</f>
      </c>
      <c r="G453" s="24">
        <f>IF(A453="","",IFERROR(INDEX('00_Parametres'!$E$7:$E$13,WEEKDAY(A453,2)),0))</f>
      </c>
      <c r="H453" s="11"/>
      <c r="I453" s="11"/>
      <c r="J453" s="11"/>
      <c r="K453" s="11"/>
      <c r="L453" s="12">
        <f>IF(OR(A453="",H453=""),"",IF(H453&lt;E453,IF(OR(J453="Oui",'00_Parametres'!$B$28="Oui"),H453,E453),H453))</f>
      </c>
      <c r="M453" s="12">
        <f>IF(OR(A453="",I453=""),"",IF(I453&gt;F453,IF(OR(K453="Oui",'00_Parametres'!$B$29="Oui"),I453,F453),I453))</f>
      </c>
      <c r="N453" s="25">
        <f>IF(OR(A453="",H453="",E453=""),0,MAX(0,ROUND((H453-E453)*1440,0)))</f>
      </c>
      <c r="O453" s="25">
        <f>IF(OR(A453="",I453="",F453=""),0,MAX(0,ROUND((F453-I453)*1440,0)))</f>
      </c>
      <c r="P453" s="12">
        <f>IF(OR(L453="",M453=""),0,MAX(0,ROUND((M453-L453)*24-G453,2)))</f>
      </c>
      <c r="Q453" s="12">
        <f>IF(P453=0,0,MIN(P453,'00_Parametres'!$B$23))</f>
      </c>
      <c r="R453" s="12">
        <f>IF(P453=0,0,MAX(0,P453-'00_Parametres'!$B$23))</f>
      </c>
      <c r="S453" s="10"/>
      <c r="T453" s="10"/>
      <c r="U453" s="10"/>
    </row>
    <row r="454" spans="1:21" x14ac:dyDescent="0.25">
      <c r="A454" s="18"/>
      <c r="B454" s="18"/>
      <c r="C454" s="9">
        <f>IF(B454="","",IFERROR(VLOOKUP(B454,'01_Employes'!$A$6:$Q$30,4,FALSE),"⚠ ID inconnu"))</f>
      </c>
      <c r="D454" s="9">
        <f>IF(A454="","",TEXT(A454,"dddd"))</f>
      </c>
      <c r="E454" s="24">
        <f>IF(A454="","",IFERROR(INDEX('00_Parametres'!$C$7:$C$13,WEEKDAY(A454,2)),""))</f>
      </c>
      <c r="F454" s="24">
        <f>IF(A454="","",IFERROR(INDEX('00_Parametres'!$D$7:$D$13,WEEKDAY(A454,2)),""))</f>
      </c>
      <c r="G454" s="24">
        <f>IF(A454="","",IFERROR(INDEX('00_Parametres'!$E$7:$E$13,WEEKDAY(A454,2)),0))</f>
      </c>
      <c r="H454" s="11"/>
      <c r="I454" s="11"/>
      <c r="J454" s="11"/>
      <c r="K454" s="11"/>
      <c r="L454" s="12">
        <f>IF(OR(A454="",H454=""),"",IF(H454&lt;E454,IF(OR(J454="Oui",'00_Parametres'!$B$28="Oui"),H454,E454),H454))</f>
      </c>
      <c r="M454" s="12">
        <f>IF(OR(A454="",I454=""),"",IF(I454&gt;F454,IF(OR(K454="Oui",'00_Parametres'!$B$29="Oui"),I454,F454),I454))</f>
      </c>
      <c r="N454" s="25">
        <f>IF(OR(A454="",H454="",E454=""),0,MAX(0,ROUND((H454-E454)*1440,0)))</f>
      </c>
      <c r="O454" s="25">
        <f>IF(OR(A454="",I454="",F454=""),0,MAX(0,ROUND((F454-I454)*1440,0)))</f>
      </c>
      <c r="P454" s="12">
        <f>IF(OR(L454="",M454=""),0,MAX(0,ROUND((M454-L454)*24-G454,2)))</f>
      </c>
      <c r="Q454" s="12">
        <f>IF(P454=0,0,MIN(P454,'00_Parametres'!$B$23))</f>
      </c>
      <c r="R454" s="12">
        <f>IF(P454=0,0,MAX(0,P454-'00_Parametres'!$B$23))</f>
      </c>
      <c r="S454" s="10"/>
      <c r="T454" s="10"/>
      <c r="U454" s="10"/>
    </row>
    <row r="455" spans="1:21" x14ac:dyDescent="0.25">
      <c r="A455" s="18"/>
      <c r="B455" s="18"/>
      <c r="C455" s="9">
        <f>IF(B455="","",IFERROR(VLOOKUP(B455,'01_Employes'!$A$6:$Q$30,4,FALSE),"⚠ ID inconnu"))</f>
      </c>
      <c r="D455" s="9">
        <f>IF(A455="","",TEXT(A455,"dddd"))</f>
      </c>
      <c r="E455" s="24">
        <f>IF(A455="","",IFERROR(INDEX('00_Parametres'!$C$7:$C$13,WEEKDAY(A455,2)),""))</f>
      </c>
      <c r="F455" s="24">
        <f>IF(A455="","",IFERROR(INDEX('00_Parametres'!$D$7:$D$13,WEEKDAY(A455,2)),""))</f>
      </c>
      <c r="G455" s="24">
        <f>IF(A455="","",IFERROR(INDEX('00_Parametres'!$E$7:$E$13,WEEKDAY(A455,2)),0))</f>
      </c>
      <c r="H455" s="11"/>
      <c r="I455" s="11"/>
      <c r="J455" s="11"/>
      <c r="K455" s="11"/>
      <c r="L455" s="12">
        <f>IF(OR(A455="",H455=""),"",IF(H455&lt;E455,IF(OR(J455="Oui",'00_Parametres'!$B$28="Oui"),H455,E455),H455))</f>
      </c>
      <c r="M455" s="12">
        <f>IF(OR(A455="",I455=""),"",IF(I455&gt;F455,IF(OR(K455="Oui",'00_Parametres'!$B$29="Oui"),I455,F455),I455))</f>
      </c>
      <c r="N455" s="25">
        <f>IF(OR(A455="",H455="",E455=""),0,MAX(0,ROUND((H455-E455)*1440,0)))</f>
      </c>
      <c r="O455" s="25">
        <f>IF(OR(A455="",I455="",F455=""),0,MAX(0,ROUND((F455-I455)*1440,0)))</f>
      </c>
      <c r="P455" s="12">
        <f>IF(OR(L455="",M455=""),0,MAX(0,ROUND((M455-L455)*24-G455,2)))</f>
      </c>
      <c r="Q455" s="12">
        <f>IF(P455=0,0,MIN(P455,'00_Parametres'!$B$23))</f>
      </c>
      <c r="R455" s="12">
        <f>IF(P455=0,0,MAX(0,P455-'00_Parametres'!$B$23))</f>
      </c>
      <c r="S455" s="10"/>
      <c r="T455" s="10"/>
      <c r="U455" s="10"/>
    </row>
    <row r="456" spans="1:21" x14ac:dyDescent="0.25">
      <c r="A456" s="18"/>
      <c r="B456" s="18"/>
      <c r="C456" s="9">
        <f>IF(B456="","",IFERROR(VLOOKUP(B456,'01_Employes'!$A$6:$Q$30,4,FALSE),"⚠ ID inconnu"))</f>
      </c>
      <c r="D456" s="9">
        <f>IF(A456="","",TEXT(A456,"dddd"))</f>
      </c>
      <c r="E456" s="24">
        <f>IF(A456="","",IFERROR(INDEX('00_Parametres'!$C$7:$C$13,WEEKDAY(A456,2)),""))</f>
      </c>
      <c r="F456" s="24">
        <f>IF(A456="","",IFERROR(INDEX('00_Parametres'!$D$7:$D$13,WEEKDAY(A456,2)),""))</f>
      </c>
      <c r="G456" s="24">
        <f>IF(A456="","",IFERROR(INDEX('00_Parametres'!$E$7:$E$13,WEEKDAY(A456,2)),0))</f>
      </c>
      <c r="H456" s="11"/>
      <c r="I456" s="11"/>
      <c r="J456" s="11"/>
      <c r="K456" s="11"/>
      <c r="L456" s="12">
        <f>IF(OR(A456="",H456=""),"",IF(H456&lt;E456,IF(OR(J456="Oui",'00_Parametres'!$B$28="Oui"),H456,E456),H456))</f>
      </c>
      <c r="M456" s="12">
        <f>IF(OR(A456="",I456=""),"",IF(I456&gt;F456,IF(OR(K456="Oui",'00_Parametres'!$B$29="Oui"),I456,F456),I456))</f>
      </c>
      <c r="N456" s="25">
        <f>IF(OR(A456="",H456="",E456=""),0,MAX(0,ROUND((H456-E456)*1440,0)))</f>
      </c>
      <c r="O456" s="25">
        <f>IF(OR(A456="",I456="",F456=""),0,MAX(0,ROUND((F456-I456)*1440,0)))</f>
      </c>
      <c r="P456" s="12">
        <f>IF(OR(L456="",M456=""),0,MAX(0,ROUND((M456-L456)*24-G456,2)))</f>
      </c>
      <c r="Q456" s="12">
        <f>IF(P456=0,0,MIN(P456,'00_Parametres'!$B$23))</f>
      </c>
      <c r="R456" s="12">
        <f>IF(P456=0,0,MAX(0,P456-'00_Parametres'!$B$23))</f>
      </c>
      <c r="S456" s="10"/>
      <c r="T456" s="10"/>
      <c r="U456" s="10"/>
    </row>
    <row r="457" spans="1:21" x14ac:dyDescent="0.25">
      <c r="A457" s="18"/>
      <c r="B457" s="18"/>
      <c r="C457" s="9">
        <f>IF(B457="","",IFERROR(VLOOKUP(B457,'01_Employes'!$A$6:$Q$30,4,FALSE),"⚠ ID inconnu"))</f>
      </c>
      <c r="D457" s="9">
        <f>IF(A457="","",TEXT(A457,"dddd"))</f>
      </c>
      <c r="E457" s="24">
        <f>IF(A457="","",IFERROR(INDEX('00_Parametres'!$C$7:$C$13,WEEKDAY(A457,2)),""))</f>
      </c>
      <c r="F457" s="24">
        <f>IF(A457="","",IFERROR(INDEX('00_Parametres'!$D$7:$D$13,WEEKDAY(A457,2)),""))</f>
      </c>
      <c r="G457" s="24">
        <f>IF(A457="","",IFERROR(INDEX('00_Parametres'!$E$7:$E$13,WEEKDAY(A457,2)),0))</f>
      </c>
      <c r="H457" s="11"/>
      <c r="I457" s="11"/>
      <c r="J457" s="11"/>
      <c r="K457" s="11"/>
      <c r="L457" s="12">
        <f>IF(OR(A457="",H457=""),"",IF(H457&lt;E457,IF(OR(J457="Oui",'00_Parametres'!$B$28="Oui"),H457,E457),H457))</f>
      </c>
      <c r="M457" s="12">
        <f>IF(OR(A457="",I457=""),"",IF(I457&gt;F457,IF(OR(K457="Oui",'00_Parametres'!$B$29="Oui"),I457,F457),I457))</f>
      </c>
      <c r="N457" s="25">
        <f>IF(OR(A457="",H457="",E457=""),0,MAX(0,ROUND((H457-E457)*1440,0)))</f>
      </c>
      <c r="O457" s="25">
        <f>IF(OR(A457="",I457="",F457=""),0,MAX(0,ROUND((F457-I457)*1440,0)))</f>
      </c>
      <c r="P457" s="12">
        <f>IF(OR(L457="",M457=""),0,MAX(0,ROUND((M457-L457)*24-G457,2)))</f>
      </c>
      <c r="Q457" s="12">
        <f>IF(P457=0,0,MIN(P457,'00_Parametres'!$B$23))</f>
      </c>
      <c r="R457" s="12">
        <f>IF(P457=0,0,MAX(0,P457-'00_Parametres'!$B$23))</f>
      </c>
      <c r="S457" s="10"/>
      <c r="T457" s="10"/>
      <c r="U457" s="10"/>
    </row>
    <row r="458" spans="1:21" x14ac:dyDescent="0.25">
      <c r="A458" s="18"/>
      <c r="B458" s="18"/>
      <c r="C458" s="9">
        <f>IF(B458="","",IFERROR(VLOOKUP(B458,'01_Employes'!$A$6:$Q$30,4,FALSE),"⚠ ID inconnu"))</f>
      </c>
      <c r="D458" s="9">
        <f>IF(A458="","",TEXT(A458,"dddd"))</f>
      </c>
      <c r="E458" s="24">
        <f>IF(A458="","",IFERROR(INDEX('00_Parametres'!$C$7:$C$13,WEEKDAY(A458,2)),""))</f>
      </c>
      <c r="F458" s="24">
        <f>IF(A458="","",IFERROR(INDEX('00_Parametres'!$D$7:$D$13,WEEKDAY(A458,2)),""))</f>
      </c>
      <c r="G458" s="24">
        <f>IF(A458="","",IFERROR(INDEX('00_Parametres'!$E$7:$E$13,WEEKDAY(A458,2)),0))</f>
      </c>
      <c r="H458" s="11"/>
      <c r="I458" s="11"/>
      <c r="J458" s="11"/>
      <c r="K458" s="11"/>
      <c r="L458" s="12">
        <f>IF(OR(A458="",H458=""),"",IF(H458&lt;E458,IF(OR(J458="Oui",'00_Parametres'!$B$28="Oui"),H458,E458),H458))</f>
      </c>
      <c r="M458" s="12">
        <f>IF(OR(A458="",I458=""),"",IF(I458&gt;F458,IF(OR(K458="Oui",'00_Parametres'!$B$29="Oui"),I458,F458),I458))</f>
      </c>
      <c r="N458" s="25">
        <f>IF(OR(A458="",H458="",E458=""),0,MAX(0,ROUND((H458-E458)*1440,0)))</f>
      </c>
      <c r="O458" s="25">
        <f>IF(OR(A458="",I458="",F458=""),0,MAX(0,ROUND((F458-I458)*1440,0)))</f>
      </c>
      <c r="P458" s="12">
        <f>IF(OR(L458="",M458=""),0,MAX(0,ROUND((M458-L458)*24-G458,2)))</f>
      </c>
      <c r="Q458" s="12">
        <f>IF(P458=0,0,MIN(P458,'00_Parametres'!$B$23))</f>
      </c>
      <c r="R458" s="12">
        <f>IF(P458=0,0,MAX(0,P458-'00_Parametres'!$B$23))</f>
      </c>
      <c r="S458" s="10"/>
      <c r="T458" s="10"/>
      <c r="U458" s="10"/>
    </row>
    <row r="459" spans="1:21" x14ac:dyDescent="0.25">
      <c r="A459" s="18"/>
      <c r="B459" s="18"/>
      <c r="C459" s="9">
        <f>IF(B459="","",IFERROR(VLOOKUP(B459,'01_Employes'!$A$6:$Q$30,4,FALSE),"⚠ ID inconnu"))</f>
      </c>
      <c r="D459" s="9">
        <f>IF(A459="","",TEXT(A459,"dddd"))</f>
      </c>
      <c r="E459" s="24">
        <f>IF(A459="","",IFERROR(INDEX('00_Parametres'!$C$7:$C$13,WEEKDAY(A459,2)),""))</f>
      </c>
      <c r="F459" s="24">
        <f>IF(A459="","",IFERROR(INDEX('00_Parametres'!$D$7:$D$13,WEEKDAY(A459,2)),""))</f>
      </c>
      <c r="G459" s="24">
        <f>IF(A459="","",IFERROR(INDEX('00_Parametres'!$E$7:$E$13,WEEKDAY(A459,2)),0))</f>
      </c>
      <c r="H459" s="11"/>
      <c r="I459" s="11"/>
      <c r="J459" s="11"/>
      <c r="K459" s="11"/>
      <c r="L459" s="12">
        <f>IF(OR(A459="",H459=""),"",IF(H459&lt;E459,IF(OR(J459="Oui",'00_Parametres'!$B$28="Oui"),H459,E459),H459))</f>
      </c>
      <c r="M459" s="12">
        <f>IF(OR(A459="",I459=""),"",IF(I459&gt;F459,IF(OR(K459="Oui",'00_Parametres'!$B$29="Oui"),I459,F459),I459))</f>
      </c>
      <c r="N459" s="25">
        <f>IF(OR(A459="",H459="",E459=""),0,MAX(0,ROUND((H459-E459)*1440,0)))</f>
      </c>
      <c r="O459" s="25">
        <f>IF(OR(A459="",I459="",F459=""),0,MAX(0,ROUND((F459-I459)*1440,0)))</f>
      </c>
      <c r="P459" s="12">
        <f>IF(OR(L459="",M459=""),0,MAX(0,ROUND((M459-L459)*24-G459,2)))</f>
      </c>
      <c r="Q459" s="12">
        <f>IF(P459=0,0,MIN(P459,'00_Parametres'!$B$23))</f>
      </c>
      <c r="R459" s="12">
        <f>IF(P459=0,0,MAX(0,P459-'00_Parametres'!$B$23))</f>
      </c>
      <c r="S459" s="10"/>
      <c r="T459" s="10"/>
      <c r="U459" s="10"/>
    </row>
    <row r="460" spans="1:21" x14ac:dyDescent="0.25">
      <c r="A460" s="18"/>
      <c r="B460" s="18"/>
      <c r="C460" s="9">
        <f>IF(B460="","",IFERROR(VLOOKUP(B460,'01_Employes'!$A$6:$Q$30,4,FALSE),"⚠ ID inconnu"))</f>
      </c>
      <c r="D460" s="9">
        <f>IF(A460="","",TEXT(A460,"dddd"))</f>
      </c>
      <c r="E460" s="24">
        <f>IF(A460="","",IFERROR(INDEX('00_Parametres'!$C$7:$C$13,WEEKDAY(A460,2)),""))</f>
      </c>
      <c r="F460" s="24">
        <f>IF(A460="","",IFERROR(INDEX('00_Parametres'!$D$7:$D$13,WEEKDAY(A460,2)),""))</f>
      </c>
      <c r="G460" s="24">
        <f>IF(A460="","",IFERROR(INDEX('00_Parametres'!$E$7:$E$13,WEEKDAY(A460,2)),0))</f>
      </c>
      <c r="H460" s="11"/>
      <c r="I460" s="11"/>
      <c r="J460" s="11"/>
      <c r="K460" s="11"/>
      <c r="L460" s="12">
        <f>IF(OR(A460="",H460=""),"",IF(H460&lt;E460,IF(OR(J460="Oui",'00_Parametres'!$B$28="Oui"),H460,E460),H460))</f>
      </c>
      <c r="M460" s="12">
        <f>IF(OR(A460="",I460=""),"",IF(I460&gt;F460,IF(OR(K460="Oui",'00_Parametres'!$B$29="Oui"),I460,F460),I460))</f>
      </c>
      <c r="N460" s="25">
        <f>IF(OR(A460="",H460="",E460=""),0,MAX(0,ROUND((H460-E460)*1440,0)))</f>
      </c>
      <c r="O460" s="25">
        <f>IF(OR(A460="",I460="",F460=""),0,MAX(0,ROUND((F460-I460)*1440,0)))</f>
      </c>
      <c r="P460" s="12">
        <f>IF(OR(L460="",M460=""),0,MAX(0,ROUND((M460-L460)*24-G460,2)))</f>
      </c>
      <c r="Q460" s="12">
        <f>IF(P460=0,0,MIN(P460,'00_Parametres'!$B$23))</f>
      </c>
      <c r="R460" s="12">
        <f>IF(P460=0,0,MAX(0,P460-'00_Parametres'!$B$23))</f>
      </c>
      <c r="S460" s="10"/>
      <c r="T460" s="10"/>
      <c r="U460" s="10"/>
    </row>
    <row r="461" spans="1:21" x14ac:dyDescent="0.25">
      <c r="A461" s="18"/>
      <c r="B461" s="18"/>
      <c r="C461" s="9">
        <f>IF(B461="","",IFERROR(VLOOKUP(B461,'01_Employes'!$A$6:$Q$30,4,FALSE),"⚠ ID inconnu"))</f>
      </c>
      <c r="D461" s="9">
        <f>IF(A461="","",TEXT(A461,"dddd"))</f>
      </c>
      <c r="E461" s="24">
        <f>IF(A461="","",IFERROR(INDEX('00_Parametres'!$C$7:$C$13,WEEKDAY(A461,2)),""))</f>
      </c>
      <c r="F461" s="24">
        <f>IF(A461="","",IFERROR(INDEX('00_Parametres'!$D$7:$D$13,WEEKDAY(A461,2)),""))</f>
      </c>
      <c r="G461" s="24">
        <f>IF(A461="","",IFERROR(INDEX('00_Parametres'!$E$7:$E$13,WEEKDAY(A461,2)),0))</f>
      </c>
      <c r="H461" s="11"/>
      <c r="I461" s="11"/>
      <c r="J461" s="11"/>
      <c r="K461" s="11"/>
      <c r="L461" s="12">
        <f>IF(OR(A461="",H461=""),"",IF(H461&lt;E461,IF(OR(J461="Oui",'00_Parametres'!$B$28="Oui"),H461,E461),H461))</f>
      </c>
      <c r="M461" s="12">
        <f>IF(OR(A461="",I461=""),"",IF(I461&gt;F461,IF(OR(K461="Oui",'00_Parametres'!$B$29="Oui"),I461,F461),I461))</f>
      </c>
      <c r="N461" s="25">
        <f>IF(OR(A461="",H461="",E461=""),0,MAX(0,ROUND((H461-E461)*1440,0)))</f>
      </c>
      <c r="O461" s="25">
        <f>IF(OR(A461="",I461="",F461=""),0,MAX(0,ROUND((F461-I461)*1440,0)))</f>
      </c>
      <c r="P461" s="12">
        <f>IF(OR(L461="",M461=""),0,MAX(0,ROUND((M461-L461)*24-G461,2)))</f>
      </c>
      <c r="Q461" s="12">
        <f>IF(P461=0,0,MIN(P461,'00_Parametres'!$B$23))</f>
      </c>
      <c r="R461" s="12">
        <f>IF(P461=0,0,MAX(0,P461-'00_Parametres'!$B$23))</f>
      </c>
      <c r="S461" s="10"/>
      <c r="T461" s="10"/>
      <c r="U461" s="10"/>
    </row>
    <row r="462" spans="1:21" x14ac:dyDescent="0.25">
      <c r="A462" s="18"/>
      <c r="B462" s="18"/>
      <c r="C462" s="9">
        <f>IF(B462="","",IFERROR(VLOOKUP(B462,'01_Employes'!$A$6:$Q$30,4,FALSE),"⚠ ID inconnu"))</f>
      </c>
      <c r="D462" s="9">
        <f>IF(A462="","",TEXT(A462,"dddd"))</f>
      </c>
      <c r="E462" s="24">
        <f>IF(A462="","",IFERROR(INDEX('00_Parametres'!$C$7:$C$13,WEEKDAY(A462,2)),""))</f>
      </c>
      <c r="F462" s="24">
        <f>IF(A462="","",IFERROR(INDEX('00_Parametres'!$D$7:$D$13,WEEKDAY(A462,2)),""))</f>
      </c>
      <c r="G462" s="24">
        <f>IF(A462="","",IFERROR(INDEX('00_Parametres'!$E$7:$E$13,WEEKDAY(A462,2)),0))</f>
      </c>
      <c r="H462" s="11"/>
      <c r="I462" s="11"/>
      <c r="J462" s="11"/>
      <c r="K462" s="11"/>
      <c r="L462" s="12">
        <f>IF(OR(A462="",H462=""),"",IF(H462&lt;E462,IF(OR(J462="Oui",'00_Parametres'!$B$28="Oui"),H462,E462),H462))</f>
      </c>
      <c r="M462" s="12">
        <f>IF(OR(A462="",I462=""),"",IF(I462&gt;F462,IF(OR(K462="Oui",'00_Parametres'!$B$29="Oui"),I462,F462),I462))</f>
      </c>
      <c r="N462" s="25">
        <f>IF(OR(A462="",H462="",E462=""),0,MAX(0,ROUND((H462-E462)*1440,0)))</f>
      </c>
      <c r="O462" s="25">
        <f>IF(OR(A462="",I462="",F462=""),0,MAX(0,ROUND((F462-I462)*1440,0)))</f>
      </c>
      <c r="P462" s="12">
        <f>IF(OR(L462="",M462=""),0,MAX(0,ROUND((M462-L462)*24-G462,2)))</f>
      </c>
      <c r="Q462" s="12">
        <f>IF(P462=0,0,MIN(P462,'00_Parametres'!$B$23))</f>
      </c>
      <c r="R462" s="12">
        <f>IF(P462=0,0,MAX(0,P462-'00_Parametres'!$B$23))</f>
      </c>
      <c r="S462" s="10"/>
      <c r="T462" s="10"/>
      <c r="U462" s="10"/>
    </row>
    <row r="463" spans="1:21" x14ac:dyDescent="0.25">
      <c r="A463" s="18"/>
      <c r="B463" s="18"/>
      <c r="C463" s="9">
        <f>IF(B463="","",IFERROR(VLOOKUP(B463,'01_Employes'!$A$6:$Q$30,4,FALSE),"⚠ ID inconnu"))</f>
      </c>
      <c r="D463" s="9">
        <f>IF(A463="","",TEXT(A463,"dddd"))</f>
      </c>
      <c r="E463" s="24">
        <f>IF(A463="","",IFERROR(INDEX('00_Parametres'!$C$7:$C$13,WEEKDAY(A463,2)),""))</f>
      </c>
      <c r="F463" s="24">
        <f>IF(A463="","",IFERROR(INDEX('00_Parametres'!$D$7:$D$13,WEEKDAY(A463,2)),""))</f>
      </c>
      <c r="G463" s="24">
        <f>IF(A463="","",IFERROR(INDEX('00_Parametres'!$E$7:$E$13,WEEKDAY(A463,2)),0))</f>
      </c>
      <c r="H463" s="11"/>
      <c r="I463" s="11"/>
      <c r="J463" s="11"/>
      <c r="K463" s="11"/>
      <c r="L463" s="12">
        <f>IF(OR(A463="",H463=""),"",IF(H463&lt;E463,IF(OR(J463="Oui",'00_Parametres'!$B$28="Oui"),H463,E463),H463))</f>
      </c>
      <c r="M463" s="12">
        <f>IF(OR(A463="",I463=""),"",IF(I463&gt;F463,IF(OR(K463="Oui",'00_Parametres'!$B$29="Oui"),I463,F463),I463))</f>
      </c>
      <c r="N463" s="25">
        <f>IF(OR(A463="",H463="",E463=""),0,MAX(0,ROUND((H463-E463)*1440,0)))</f>
      </c>
      <c r="O463" s="25">
        <f>IF(OR(A463="",I463="",F463=""),0,MAX(0,ROUND((F463-I463)*1440,0)))</f>
      </c>
      <c r="P463" s="12">
        <f>IF(OR(L463="",M463=""),0,MAX(0,ROUND((M463-L463)*24-G463,2)))</f>
      </c>
      <c r="Q463" s="12">
        <f>IF(P463=0,0,MIN(P463,'00_Parametres'!$B$23))</f>
      </c>
      <c r="R463" s="12">
        <f>IF(P463=0,0,MAX(0,P463-'00_Parametres'!$B$23))</f>
      </c>
      <c r="S463" s="10"/>
      <c r="T463" s="10"/>
      <c r="U463" s="10"/>
    </row>
    <row r="464" spans="1:21" x14ac:dyDescent="0.25">
      <c r="A464" s="18"/>
      <c r="B464" s="18"/>
      <c r="C464" s="9">
        <f>IF(B464="","",IFERROR(VLOOKUP(B464,'01_Employes'!$A$6:$Q$30,4,FALSE),"⚠ ID inconnu"))</f>
      </c>
      <c r="D464" s="9">
        <f>IF(A464="","",TEXT(A464,"dddd"))</f>
      </c>
      <c r="E464" s="24">
        <f>IF(A464="","",IFERROR(INDEX('00_Parametres'!$C$7:$C$13,WEEKDAY(A464,2)),""))</f>
      </c>
      <c r="F464" s="24">
        <f>IF(A464="","",IFERROR(INDEX('00_Parametres'!$D$7:$D$13,WEEKDAY(A464,2)),""))</f>
      </c>
      <c r="G464" s="24">
        <f>IF(A464="","",IFERROR(INDEX('00_Parametres'!$E$7:$E$13,WEEKDAY(A464,2)),0))</f>
      </c>
      <c r="H464" s="11"/>
      <c r="I464" s="11"/>
      <c r="J464" s="11"/>
      <c r="K464" s="11"/>
      <c r="L464" s="12">
        <f>IF(OR(A464="",H464=""),"",IF(H464&lt;E464,IF(OR(J464="Oui",'00_Parametres'!$B$28="Oui"),H464,E464),H464))</f>
      </c>
      <c r="M464" s="12">
        <f>IF(OR(A464="",I464=""),"",IF(I464&gt;F464,IF(OR(K464="Oui",'00_Parametres'!$B$29="Oui"),I464,F464),I464))</f>
      </c>
      <c r="N464" s="25">
        <f>IF(OR(A464="",H464="",E464=""),0,MAX(0,ROUND((H464-E464)*1440,0)))</f>
      </c>
      <c r="O464" s="25">
        <f>IF(OR(A464="",I464="",F464=""),0,MAX(0,ROUND((F464-I464)*1440,0)))</f>
      </c>
      <c r="P464" s="12">
        <f>IF(OR(L464="",M464=""),0,MAX(0,ROUND((M464-L464)*24-G464,2)))</f>
      </c>
      <c r="Q464" s="12">
        <f>IF(P464=0,0,MIN(P464,'00_Parametres'!$B$23))</f>
      </c>
      <c r="R464" s="12">
        <f>IF(P464=0,0,MAX(0,P464-'00_Parametres'!$B$23))</f>
      </c>
      <c r="S464" s="10"/>
      <c r="T464" s="10"/>
      <c r="U464" s="10"/>
    </row>
    <row r="465" spans="1:21" x14ac:dyDescent="0.25">
      <c r="A465" s="18"/>
      <c r="B465" s="18"/>
      <c r="C465" s="9">
        <f>IF(B465="","",IFERROR(VLOOKUP(B465,'01_Employes'!$A$6:$Q$30,4,FALSE),"⚠ ID inconnu"))</f>
      </c>
      <c r="D465" s="9">
        <f>IF(A465="","",TEXT(A465,"dddd"))</f>
      </c>
      <c r="E465" s="24">
        <f>IF(A465="","",IFERROR(INDEX('00_Parametres'!$C$7:$C$13,WEEKDAY(A465,2)),""))</f>
      </c>
      <c r="F465" s="24">
        <f>IF(A465="","",IFERROR(INDEX('00_Parametres'!$D$7:$D$13,WEEKDAY(A465,2)),""))</f>
      </c>
      <c r="G465" s="24">
        <f>IF(A465="","",IFERROR(INDEX('00_Parametres'!$E$7:$E$13,WEEKDAY(A465,2)),0))</f>
      </c>
      <c r="H465" s="11"/>
      <c r="I465" s="11"/>
      <c r="J465" s="11"/>
      <c r="K465" s="11"/>
      <c r="L465" s="12">
        <f>IF(OR(A465="",H465=""),"",IF(H465&lt;E465,IF(OR(J465="Oui",'00_Parametres'!$B$28="Oui"),H465,E465),H465))</f>
      </c>
      <c r="M465" s="12">
        <f>IF(OR(A465="",I465=""),"",IF(I465&gt;F465,IF(OR(K465="Oui",'00_Parametres'!$B$29="Oui"),I465,F465),I465))</f>
      </c>
      <c r="N465" s="25">
        <f>IF(OR(A465="",H465="",E465=""),0,MAX(0,ROUND((H465-E465)*1440,0)))</f>
      </c>
      <c r="O465" s="25">
        <f>IF(OR(A465="",I465="",F465=""),0,MAX(0,ROUND((F465-I465)*1440,0)))</f>
      </c>
      <c r="P465" s="12">
        <f>IF(OR(L465="",M465=""),0,MAX(0,ROUND((M465-L465)*24-G465,2)))</f>
      </c>
      <c r="Q465" s="12">
        <f>IF(P465=0,0,MIN(P465,'00_Parametres'!$B$23))</f>
      </c>
      <c r="R465" s="12">
        <f>IF(P465=0,0,MAX(0,P465-'00_Parametres'!$B$23))</f>
      </c>
      <c r="S465" s="10"/>
      <c r="T465" s="10"/>
      <c r="U465" s="10"/>
    </row>
    <row r="466" spans="1:21" x14ac:dyDescent="0.25">
      <c r="A466" s="18"/>
      <c r="B466" s="18"/>
      <c r="C466" s="9">
        <f>IF(B466="","",IFERROR(VLOOKUP(B466,'01_Employes'!$A$6:$Q$30,4,FALSE),"⚠ ID inconnu"))</f>
      </c>
      <c r="D466" s="9">
        <f>IF(A466="","",TEXT(A466,"dddd"))</f>
      </c>
      <c r="E466" s="24">
        <f>IF(A466="","",IFERROR(INDEX('00_Parametres'!$C$7:$C$13,WEEKDAY(A466,2)),""))</f>
      </c>
      <c r="F466" s="24">
        <f>IF(A466="","",IFERROR(INDEX('00_Parametres'!$D$7:$D$13,WEEKDAY(A466,2)),""))</f>
      </c>
      <c r="G466" s="24">
        <f>IF(A466="","",IFERROR(INDEX('00_Parametres'!$E$7:$E$13,WEEKDAY(A466,2)),0))</f>
      </c>
      <c r="H466" s="11"/>
      <c r="I466" s="11"/>
      <c r="J466" s="11"/>
      <c r="K466" s="11"/>
      <c r="L466" s="12">
        <f>IF(OR(A466="",H466=""),"",IF(H466&lt;E466,IF(OR(J466="Oui",'00_Parametres'!$B$28="Oui"),H466,E466),H466))</f>
      </c>
      <c r="M466" s="12">
        <f>IF(OR(A466="",I466=""),"",IF(I466&gt;F466,IF(OR(K466="Oui",'00_Parametres'!$B$29="Oui"),I466,F466),I466))</f>
      </c>
      <c r="N466" s="25">
        <f>IF(OR(A466="",H466="",E466=""),0,MAX(0,ROUND((H466-E466)*1440,0)))</f>
      </c>
      <c r="O466" s="25">
        <f>IF(OR(A466="",I466="",F466=""),0,MAX(0,ROUND((F466-I466)*1440,0)))</f>
      </c>
      <c r="P466" s="12">
        <f>IF(OR(L466="",M466=""),0,MAX(0,ROUND((M466-L466)*24-G466,2)))</f>
      </c>
      <c r="Q466" s="12">
        <f>IF(P466=0,0,MIN(P466,'00_Parametres'!$B$23))</f>
      </c>
      <c r="R466" s="12">
        <f>IF(P466=0,0,MAX(0,P466-'00_Parametres'!$B$23))</f>
      </c>
      <c r="S466" s="10"/>
      <c r="T466" s="10"/>
      <c r="U466" s="10"/>
    </row>
    <row r="467" spans="1:21" x14ac:dyDescent="0.25">
      <c r="A467" s="18"/>
      <c r="B467" s="18"/>
      <c r="C467" s="9">
        <f>IF(B467="","",IFERROR(VLOOKUP(B467,'01_Employes'!$A$6:$Q$30,4,FALSE),"⚠ ID inconnu"))</f>
      </c>
      <c r="D467" s="9">
        <f>IF(A467="","",TEXT(A467,"dddd"))</f>
      </c>
      <c r="E467" s="24">
        <f>IF(A467="","",IFERROR(INDEX('00_Parametres'!$C$7:$C$13,WEEKDAY(A467,2)),""))</f>
      </c>
      <c r="F467" s="24">
        <f>IF(A467="","",IFERROR(INDEX('00_Parametres'!$D$7:$D$13,WEEKDAY(A467,2)),""))</f>
      </c>
      <c r="G467" s="24">
        <f>IF(A467="","",IFERROR(INDEX('00_Parametres'!$E$7:$E$13,WEEKDAY(A467,2)),0))</f>
      </c>
      <c r="H467" s="11"/>
      <c r="I467" s="11"/>
      <c r="J467" s="11"/>
      <c r="K467" s="11"/>
      <c r="L467" s="12">
        <f>IF(OR(A467="",H467=""),"",IF(H467&lt;E467,IF(OR(J467="Oui",'00_Parametres'!$B$28="Oui"),H467,E467),H467))</f>
      </c>
      <c r="M467" s="12">
        <f>IF(OR(A467="",I467=""),"",IF(I467&gt;F467,IF(OR(K467="Oui",'00_Parametres'!$B$29="Oui"),I467,F467),I467))</f>
      </c>
      <c r="N467" s="25">
        <f>IF(OR(A467="",H467="",E467=""),0,MAX(0,ROUND((H467-E467)*1440,0)))</f>
      </c>
      <c r="O467" s="25">
        <f>IF(OR(A467="",I467="",F467=""),0,MAX(0,ROUND((F467-I467)*1440,0)))</f>
      </c>
      <c r="P467" s="12">
        <f>IF(OR(L467="",M467=""),0,MAX(0,ROUND((M467-L467)*24-G467,2)))</f>
      </c>
      <c r="Q467" s="12">
        <f>IF(P467=0,0,MIN(P467,'00_Parametres'!$B$23))</f>
      </c>
      <c r="R467" s="12">
        <f>IF(P467=0,0,MAX(0,P467-'00_Parametres'!$B$23))</f>
      </c>
      <c r="S467" s="10"/>
      <c r="T467" s="10"/>
      <c r="U467" s="10"/>
    </row>
    <row r="468" spans="1:21" x14ac:dyDescent="0.25">
      <c r="A468" s="18"/>
      <c r="B468" s="18"/>
      <c r="C468" s="9">
        <f>IF(B468="","",IFERROR(VLOOKUP(B468,'01_Employes'!$A$6:$Q$30,4,FALSE),"⚠ ID inconnu"))</f>
      </c>
      <c r="D468" s="9">
        <f>IF(A468="","",TEXT(A468,"dddd"))</f>
      </c>
      <c r="E468" s="24">
        <f>IF(A468="","",IFERROR(INDEX('00_Parametres'!$C$7:$C$13,WEEKDAY(A468,2)),""))</f>
      </c>
      <c r="F468" s="24">
        <f>IF(A468="","",IFERROR(INDEX('00_Parametres'!$D$7:$D$13,WEEKDAY(A468,2)),""))</f>
      </c>
      <c r="G468" s="24">
        <f>IF(A468="","",IFERROR(INDEX('00_Parametres'!$E$7:$E$13,WEEKDAY(A468,2)),0))</f>
      </c>
      <c r="H468" s="11"/>
      <c r="I468" s="11"/>
      <c r="J468" s="11"/>
      <c r="K468" s="11"/>
      <c r="L468" s="12">
        <f>IF(OR(A468="",H468=""),"",IF(H468&lt;E468,IF(OR(J468="Oui",'00_Parametres'!$B$28="Oui"),H468,E468),H468))</f>
      </c>
      <c r="M468" s="12">
        <f>IF(OR(A468="",I468=""),"",IF(I468&gt;F468,IF(OR(K468="Oui",'00_Parametres'!$B$29="Oui"),I468,F468),I468))</f>
      </c>
      <c r="N468" s="25">
        <f>IF(OR(A468="",H468="",E468=""),0,MAX(0,ROUND((H468-E468)*1440,0)))</f>
      </c>
      <c r="O468" s="25">
        <f>IF(OR(A468="",I468="",F468=""),0,MAX(0,ROUND((F468-I468)*1440,0)))</f>
      </c>
      <c r="P468" s="12">
        <f>IF(OR(L468="",M468=""),0,MAX(0,ROUND((M468-L468)*24-G468,2)))</f>
      </c>
      <c r="Q468" s="12">
        <f>IF(P468=0,0,MIN(P468,'00_Parametres'!$B$23))</f>
      </c>
      <c r="R468" s="12">
        <f>IF(P468=0,0,MAX(0,P468-'00_Parametres'!$B$23))</f>
      </c>
      <c r="S468" s="10"/>
      <c r="T468" s="10"/>
      <c r="U468" s="10"/>
    </row>
    <row r="469" spans="1:21" x14ac:dyDescent="0.25">
      <c r="A469" s="18"/>
      <c r="B469" s="18"/>
      <c r="C469" s="9">
        <f>IF(B469="","",IFERROR(VLOOKUP(B469,'01_Employes'!$A$6:$Q$30,4,FALSE),"⚠ ID inconnu"))</f>
      </c>
      <c r="D469" s="9">
        <f>IF(A469="","",TEXT(A469,"dddd"))</f>
      </c>
      <c r="E469" s="24">
        <f>IF(A469="","",IFERROR(INDEX('00_Parametres'!$C$7:$C$13,WEEKDAY(A469,2)),""))</f>
      </c>
      <c r="F469" s="24">
        <f>IF(A469="","",IFERROR(INDEX('00_Parametres'!$D$7:$D$13,WEEKDAY(A469,2)),""))</f>
      </c>
      <c r="G469" s="24">
        <f>IF(A469="","",IFERROR(INDEX('00_Parametres'!$E$7:$E$13,WEEKDAY(A469,2)),0))</f>
      </c>
      <c r="H469" s="11"/>
      <c r="I469" s="11"/>
      <c r="J469" s="11"/>
      <c r="K469" s="11"/>
      <c r="L469" s="12">
        <f>IF(OR(A469="",H469=""),"",IF(H469&lt;E469,IF(OR(J469="Oui",'00_Parametres'!$B$28="Oui"),H469,E469),H469))</f>
      </c>
      <c r="M469" s="12">
        <f>IF(OR(A469="",I469=""),"",IF(I469&gt;F469,IF(OR(K469="Oui",'00_Parametres'!$B$29="Oui"),I469,F469),I469))</f>
      </c>
      <c r="N469" s="25">
        <f>IF(OR(A469="",H469="",E469=""),0,MAX(0,ROUND((H469-E469)*1440,0)))</f>
      </c>
      <c r="O469" s="25">
        <f>IF(OR(A469="",I469="",F469=""),0,MAX(0,ROUND((F469-I469)*1440,0)))</f>
      </c>
      <c r="P469" s="12">
        <f>IF(OR(L469="",M469=""),0,MAX(0,ROUND((M469-L469)*24-G469,2)))</f>
      </c>
      <c r="Q469" s="12">
        <f>IF(P469=0,0,MIN(P469,'00_Parametres'!$B$23))</f>
      </c>
      <c r="R469" s="12">
        <f>IF(P469=0,0,MAX(0,P469-'00_Parametres'!$B$23))</f>
      </c>
      <c r="S469" s="10"/>
      <c r="T469" s="10"/>
      <c r="U469" s="10"/>
    </row>
    <row r="470" spans="1:21" x14ac:dyDescent="0.25">
      <c r="A470" s="18"/>
      <c r="B470" s="18"/>
      <c r="C470" s="9">
        <f>IF(B470="","",IFERROR(VLOOKUP(B470,'01_Employes'!$A$6:$Q$30,4,FALSE),"⚠ ID inconnu"))</f>
      </c>
      <c r="D470" s="9">
        <f>IF(A470="","",TEXT(A470,"dddd"))</f>
      </c>
      <c r="E470" s="24">
        <f>IF(A470="","",IFERROR(INDEX('00_Parametres'!$C$7:$C$13,WEEKDAY(A470,2)),""))</f>
      </c>
      <c r="F470" s="24">
        <f>IF(A470="","",IFERROR(INDEX('00_Parametres'!$D$7:$D$13,WEEKDAY(A470,2)),""))</f>
      </c>
      <c r="G470" s="24">
        <f>IF(A470="","",IFERROR(INDEX('00_Parametres'!$E$7:$E$13,WEEKDAY(A470,2)),0))</f>
      </c>
      <c r="H470" s="11"/>
      <c r="I470" s="11"/>
      <c r="J470" s="11"/>
      <c r="K470" s="11"/>
      <c r="L470" s="12">
        <f>IF(OR(A470="",H470=""),"",IF(H470&lt;E470,IF(OR(J470="Oui",'00_Parametres'!$B$28="Oui"),H470,E470),H470))</f>
      </c>
      <c r="M470" s="12">
        <f>IF(OR(A470="",I470=""),"",IF(I470&gt;F470,IF(OR(K470="Oui",'00_Parametres'!$B$29="Oui"),I470,F470),I470))</f>
      </c>
      <c r="N470" s="25">
        <f>IF(OR(A470="",H470="",E470=""),0,MAX(0,ROUND((H470-E470)*1440,0)))</f>
      </c>
      <c r="O470" s="25">
        <f>IF(OR(A470="",I470="",F470=""),0,MAX(0,ROUND((F470-I470)*1440,0)))</f>
      </c>
      <c r="P470" s="12">
        <f>IF(OR(L470="",M470=""),0,MAX(0,ROUND((M470-L470)*24-G470,2)))</f>
      </c>
      <c r="Q470" s="12">
        <f>IF(P470=0,0,MIN(P470,'00_Parametres'!$B$23))</f>
      </c>
      <c r="R470" s="12">
        <f>IF(P470=0,0,MAX(0,P470-'00_Parametres'!$B$23))</f>
      </c>
      <c r="S470" s="10"/>
      <c r="T470" s="10"/>
      <c r="U470" s="10"/>
    </row>
    <row r="471" spans="1:21" x14ac:dyDescent="0.25">
      <c r="A471" s="18"/>
      <c r="B471" s="18"/>
      <c r="C471" s="9">
        <f>IF(B471="","",IFERROR(VLOOKUP(B471,'01_Employes'!$A$6:$Q$30,4,FALSE),"⚠ ID inconnu"))</f>
      </c>
      <c r="D471" s="9">
        <f>IF(A471="","",TEXT(A471,"dddd"))</f>
      </c>
      <c r="E471" s="24">
        <f>IF(A471="","",IFERROR(INDEX('00_Parametres'!$C$7:$C$13,WEEKDAY(A471,2)),""))</f>
      </c>
      <c r="F471" s="24">
        <f>IF(A471="","",IFERROR(INDEX('00_Parametres'!$D$7:$D$13,WEEKDAY(A471,2)),""))</f>
      </c>
      <c r="G471" s="24">
        <f>IF(A471="","",IFERROR(INDEX('00_Parametres'!$E$7:$E$13,WEEKDAY(A471,2)),0))</f>
      </c>
      <c r="H471" s="11"/>
      <c r="I471" s="11"/>
      <c r="J471" s="11"/>
      <c r="K471" s="11"/>
      <c r="L471" s="12">
        <f>IF(OR(A471="",H471=""),"",IF(H471&lt;E471,IF(OR(J471="Oui",'00_Parametres'!$B$28="Oui"),H471,E471),H471))</f>
      </c>
      <c r="M471" s="12">
        <f>IF(OR(A471="",I471=""),"",IF(I471&gt;F471,IF(OR(K471="Oui",'00_Parametres'!$B$29="Oui"),I471,F471),I471))</f>
      </c>
      <c r="N471" s="25">
        <f>IF(OR(A471="",H471="",E471=""),0,MAX(0,ROUND((H471-E471)*1440,0)))</f>
      </c>
      <c r="O471" s="25">
        <f>IF(OR(A471="",I471="",F471=""),0,MAX(0,ROUND((F471-I471)*1440,0)))</f>
      </c>
      <c r="P471" s="12">
        <f>IF(OR(L471="",M471=""),0,MAX(0,ROUND((M471-L471)*24-G471,2)))</f>
      </c>
      <c r="Q471" s="12">
        <f>IF(P471=0,0,MIN(P471,'00_Parametres'!$B$23))</f>
      </c>
      <c r="R471" s="12">
        <f>IF(P471=0,0,MAX(0,P471-'00_Parametres'!$B$23))</f>
      </c>
      <c r="S471" s="10"/>
      <c r="T471" s="10"/>
      <c r="U471" s="10"/>
    </row>
    <row r="472" spans="1:21" x14ac:dyDescent="0.25">
      <c r="A472" s="18"/>
      <c r="B472" s="18"/>
      <c r="C472" s="9">
        <f>IF(B472="","",IFERROR(VLOOKUP(B472,'01_Employes'!$A$6:$Q$30,4,FALSE),"⚠ ID inconnu"))</f>
      </c>
      <c r="D472" s="9">
        <f>IF(A472="","",TEXT(A472,"dddd"))</f>
      </c>
      <c r="E472" s="24">
        <f>IF(A472="","",IFERROR(INDEX('00_Parametres'!$C$7:$C$13,WEEKDAY(A472,2)),""))</f>
      </c>
      <c r="F472" s="24">
        <f>IF(A472="","",IFERROR(INDEX('00_Parametres'!$D$7:$D$13,WEEKDAY(A472,2)),""))</f>
      </c>
      <c r="G472" s="24">
        <f>IF(A472="","",IFERROR(INDEX('00_Parametres'!$E$7:$E$13,WEEKDAY(A472,2)),0))</f>
      </c>
      <c r="H472" s="11"/>
      <c r="I472" s="11"/>
      <c r="J472" s="11"/>
      <c r="K472" s="11"/>
      <c r="L472" s="12">
        <f>IF(OR(A472="",H472=""),"",IF(H472&lt;E472,IF(OR(J472="Oui",'00_Parametres'!$B$28="Oui"),H472,E472),H472))</f>
      </c>
      <c r="M472" s="12">
        <f>IF(OR(A472="",I472=""),"",IF(I472&gt;F472,IF(OR(K472="Oui",'00_Parametres'!$B$29="Oui"),I472,F472),I472))</f>
      </c>
      <c r="N472" s="25">
        <f>IF(OR(A472="",H472="",E472=""),0,MAX(0,ROUND((H472-E472)*1440,0)))</f>
      </c>
      <c r="O472" s="25">
        <f>IF(OR(A472="",I472="",F472=""),0,MAX(0,ROUND((F472-I472)*1440,0)))</f>
      </c>
      <c r="P472" s="12">
        <f>IF(OR(L472="",M472=""),0,MAX(0,ROUND((M472-L472)*24-G472,2)))</f>
      </c>
      <c r="Q472" s="12">
        <f>IF(P472=0,0,MIN(P472,'00_Parametres'!$B$23))</f>
      </c>
      <c r="R472" s="12">
        <f>IF(P472=0,0,MAX(0,P472-'00_Parametres'!$B$23))</f>
      </c>
      <c r="S472" s="10"/>
      <c r="T472" s="10"/>
      <c r="U472" s="10"/>
    </row>
    <row r="473" spans="1:21" x14ac:dyDescent="0.25">
      <c r="A473" s="18"/>
      <c r="B473" s="18"/>
      <c r="C473" s="9">
        <f>IF(B473="","",IFERROR(VLOOKUP(B473,'01_Employes'!$A$6:$Q$30,4,FALSE),"⚠ ID inconnu"))</f>
      </c>
      <c r="D473" s="9">
        <f>IF(A473="","",TEXT(A473,"dddd"))</f>
      </c>
      <c r="E473" s="24">
        <f>IF(A473="","",IFERROR(INDEX('00_Parametres'!$C$7:$C$13,WEEKDAY(A473,2)),""))</f>
      </c>
      <c r="F473" s="24">
        <f>IF(A473="","",IFERROR(INDEX('00_Parametres'!$D$7:$D$13,WEEKDAY(A473,2)),""))</f>
      </c>
      <c r="G473" s="24">
        <f>IF(A473="","",IFERROR(INDEX('00_Parametres'!$E$7:$E$13,WEEKDAY(A473,2)),0))</f>
      </c>
      <c r="H473" s="11"/>
      <c r="I473" s="11"/>
      <c r="J473" s="11"/>
      <c r="K473" s="11"/>
      <c r="L473" s="12">
        <f>IF(OR(A473="",H473=""),"",IF(H473&lt;E473,IF(OR(J473="Oui",'00_Parametres'!$B$28="Oui"),H473,E473),H473))</f>
      </c>
      <c r="M473" s="12">
        <f>IF(OR(A473="",I473=""),"",IF(I473&gt;F473,IF(OR(K473="Oui",'00_Parametres'!$B$29="Oui"),I473,F473),I473))</f>
      </c>
      <c r="N473" s="25">
        <f>IF(OR(A473="",H473="",E473=""),0,MAX(0,ROUND((H473-E473)*1440,0)))</f>
      </c>
      <c r="O473" s="25">
        <f>IF(OR(A473="",I473="",F473=""),0,MAX(0,ROUND((F473-I473)*1440,0)))</f>
      </c>
      <c r="P473" s="12">
        <f>IF(OR(L473="",M473=""),0,MAX(0,ROUND((M473-L473)*24-G473,2)))</f>
      </c>
      <c r="Q473" s="12">
        <f>IF(P473=0,0,MIN(P473,'00_Parametres'!$B$23))</f>
      </c>
      <c r="R473" s="12">
        <f>IF(P473=0,0,MAX(0,P473-'00_Parametres'!$B$23))</f>
      </c>
      <c r="S473" s="10"/>
      <c r="T473" s="10"/>
      <c r="U473" s="10"/>
    </row>
    <row r="474" spans="1:21" x14ac:dyDescent="0.25">
      <c r="A474" s="18"/>
      <c r="B474" s="18"/>
      <c r="C474" s="9">
        <f>IF(B474="","",IFERROR(VLOOKUP(B474,'01_Employes'!$A$6:$Q$30,4,FALSE),"⚠ ID inconnu"))</f>
      </c>
      <c r="D474" s="9">
        <f>IF(A474="","",TEXT(A474,"dddd"))</f>
      </c>
      <c r="E474" s="24">
        <f>IF(A474="","",IFERROR(INDEX('00_Parametres'!$C$7:$C$13,WEEKDAY(A474,2)),""))</f>
      </c>
      <c r="F474" s="24">
        <f>IF(A474="","",IFERROR(INDEX('00_Parametres'!$D$7:$D$13,WEEKDAY(A474,2)),""))</f>
      </c>
      <c r="G474" s="24">
        <f>IF(A474="","",IFERROR(INDEX('00_Parametres'!$E$7:$E$13,WEEKDAY(A474,2)),0))</f>
      </c>
      <c r="H474" s="11"/>
      <c r="I474" s="11"/>
      <c r="J474" s="11"/>
      <c r="K474" s="11"/>
      <c r="L474" s="12">
        <f>IF(OR(A474="",H474=""),"",IF(H474&lt;E474,IF(OR(J474="Oui",'00_Parametres'!$B$28="Oui"),H474,E474),H474))</f>
      </c>
      <c r="M474" s="12">
        <f>IF(OR(A474="",I474=""),"",IF(I474&gt;F474,IF(OR(K474="Oui",'00_Parametres'!$B$29="Oui"),I474,F474),I474))</f>
      </c>
      <c r="N474" s="25">
        <f>IF(OR(A474="",H474="",E474=""),0,MAX(0,ROUND((H474-E474)*1440,0)))</f>
      </c>
      <c r="O474" s="25">
        <f>IF(OR(A474="",I474="",F474=""),0,MAX(0,ROUND((F474-I474)*1440,0)))</f>
      </c>
      <c r="P474" s="12">
        <f>IF(OR(L474="",M474=""),0,MAX(0,ROUND((M474-L474)*24-G474,2)))</f>
      </c>
      <c r="Q474" s="12">
        <f>IF(P474=0,0,MIN(P474,'00_Parametres'!$B$23))</f>
      </c>
      <c r="R474" s="12">
        <f>IF(P474=0,0,MAX(0,P474-'00_Parametres'!$B$23))</f>
      </c>
      <c r="S474" s="10"/>
      <c r="T474" s="10"/>
      <c r="U474" s="10"/>
    </row>
    <row r="475" spans="1:21" x14ac:dyDescent="0.25">
      <c r="A475" s="18"/>
      <c r="B475" s="18"/>
      <c r="C475" s="9">
        <f>IF(B475="","",IFERROR(VLOOKUP(B475,'01_Employes'!$A$6:$Q$30,4,FALSE),"⚠ ID inconnu"))</f>
      </c>
      <c r="D475" s="9">
        <f>IF(A475="","",TEXT(A475,"dddd"))</f>
      </c>
      <c r="E475" s="24">
        <f>IF(A475="","",IFERROR(INDEX('00_Parametres'!$C$7:$C$13,WEEKDAY(A475,2)),""))</f>
      </c>
      <c r="F475" s="24">
        <f>IF(A475="","",IFERROR(INDEX('00_Parametres'!$D$7:$D$13,WEEKDAY(A475,2)),""))</f>
      </c>
      <c r="G475" s="24">
        <f>IF(A475="","",IFERROR(INDEX('00_Parametres'!$E$7:$E$13,WEEKDAY(A475,2)),0))</f>
      </c>
      <c r="H475" s="11"/>
      <c r="I475" s="11"/>
      <c r="J475" s="11"/>
      <c r="K475" s="11"/>
      <c r="L475" s="12">
        <f>IF(OR(A475="",H475=""),"",IF(H475&lt;E475,IF(OR(J475="Oui",'00_Parametres'!$B$28="Oui"),H475,E475),H475))</f>
      </c>
      <c r="M475" s="12">
        <f>IF(OR(A475="",I475=""),"",IF(I475&gt;F475,IF(OR(K475="Oui",'00_Parametres'!$B$29="Oui"),I475,F475),I475))</f>
      </c>
      <c r="N475" s="25">
        <f>IF(OR(A475="",H475="",E475=""),0,MAX(0,ROUND((H475-E475)*1440,0)))</f>
      </c>
      <c r="O475" s="25">
        <f>IF(OR(A475="",I475="",F475=""),0,MAX(0,ROUND((F475-I475)*1440,0)))</f>
      </c>
      <c r="P475" s="12">
        <f>IF(OR(L475="",M475=""),0,MAX(0,ROUND((M475-L475)*24-G475,2)))</f>
      </c>
      <c r="Q475" s="12">
        <f>IF(P475=0,0,MIN(P475,'00_Parametres'!$B$23))</f>
      </c>
      <c r="R475" s="12">
        <f>IF(P475=0,0,MAX(0,P475-'00_Parametres'!$B$23))</f>
      </c>
      <c r="S475" s="10"/>
      <c r="T475" s="10"/>
      <c r="U475" s="10"/>
    </row>
    <row r="476" spans="1:21" x14ac:dyDescent="0.25">
      <c r="A476" s="18"/>
      <c r="B476" s="18"/>
      <c r="C476" s="9">
        <f>IF(B476="","",IFERROR(VLOOKUP(B476,'01_Employes'!$A$6:$Q$30,4,FALSE),"⚠ ID inconnu"))</f>
      </c>
      <c r="D476" s="9">
        <f>IF(A476="","",TEXT(A476,"dddd"))</f>
      </c>
      <c r="E476" s="24">
        <f>IF(A476="","",IFERROR(INDEX('00_Parametres'!$C$7:$C$13,WEEKDAY(A476,2)),""))</f>
      </c>
      <c r="F476" s="24">
        <f>IF(A476="","",IFERROR(INDEX('00_Parametres'!$D$7:$D$13,WEEKDAY(A476,2)),""))</f>
      </c>
      <c r="G476" s="24">
        <f>IF(A476="","",IFERROR(INDEX('00_Parametres'!$E$7:$E$13,WEEKDAY(A476,2)),0))</f>
      </c>
      <c r="H476" s="11"/>
      <c r="I476" s="11"/>
      <c r="J476" s="11"/>
      <c r="K476" s="11"/>
      <c r="L476" s="12">
        <f>IF(OR(A476="",H476=""),"",IF(H476&lt;E476,IF(OR(J476="Oui",'00_Parametres'!$B$28="Oui"),H476,E476),H476))</f>
      </c>
      <c r="M476" s="12">
        <f>IF(OR(A476="",I476=""),"",IF(I476&gt;F476,IF(OR(K476="Oui",'00_Parametres'!$B$29="Oui"),I476,F476),I476))</f>
      </c>
      <c r="N476" s="25">
        <f>IF(OR(A476="",H476="",E476=""),0,MAX(0,ROUND((H476-E476)*1440,0)))</f>
      </c>
      <c r="O476" s="25">
        <f>IF(OR(A476="",I476="",F476=""),0,MAX(0,ROUND((F476-I476)*1440,0)))</f>
      </c>
      <c r="P476" s="12">
        <f>IF(OR(L476="",M476=""),0,MAX(0,ROUND((M476-L476)*24-G476,2)))</f>
      </c>
      <c r="Q476" s="12">
        <f>IF(P476=0,0,MIN(P476,'00_Parametres'!$B$23))</f>
      </c>
      <c r="R476" s="12">
        <f>IF(P476=0,0,MAX(0,P476-'00_Parametres'!$B$23))</f>
      </c>
      <c r="S476" s="10"/>
      <c r="T476" s="10"/>
      <c r="U476" s="10"/>
    </row>
    <row r="477" spans="1:21" x14ac:dyDescent="0.25">
      <c r="A477" s="18"/>
      <c r="B477" s="18"/>
      <c r="C477" s="9">
        <f>IF(B477="","",IFERROR(VLOOKUP(B477,'01_Employes'!$A$6:$Q$30,4,FALSE),"⚠ ID inconnu"))</f>
      </c>
      <c r="D477" s="9">
        <f>IF(A477="","",TEXT(A477,"dddd"))</f>
      </c>
      <c r="E477" s="24">
        <f>IF(A477="","",IFERROR(INDEX('00_Parametres'!$C$7:$C$13,WEEKDAY(A477,2)),""))</f>
      </c>
      <c r="F477" s="24">
        <f>IF(A477="","",IFERROR(INDEX('00_Parametres'!$D$7:$D$13,WEEKDAY(A477,2)),""))</f>
      </c>
      <c r="G477" s="24">
        <f>IF(A477="","",IFERROR(INDEX('00_Parametres'!$E$7:$E$13,WEEKDAY(A477,2)),0))</f>
      </c>
      <c r="H477" s="11"/>
      <c r="I477" s="11"/>
      <c r="J477" s="11"/>
      <c r="K477" s="11"/>
      <c r="L477" s="12">
        <f>IF(OR(A477="",H477=""),"",IF(H477&lt;E477,IF(OR(J477="Oui",'00_Parametres'!$B$28="Oui"),H477,E477),H477))</f>
      </c>
      <c r="M477" s="12">
        <f>IF(OR(A477="",I477=""),"",IF(I477&gt;F477,IF(OR(K477="Oui",'00_Parametres'!$B$29="Oui"),I477,F477),I477))</f>
      </c>
      <c r="N477" s="25">
        <f>IF(OR(A477="",H477="",E477=""),0,MAX(0,ROUND((H477-E477)*1440,0)))</f>
      </c>
      <c r="O477" s="25">
        <f>IF(OR(A477="",I477="",F477=""),0,MAX(0,ROUND((F477-I477)*1440,0)))</f>
      </c>
      <c r="P477" s="12">
        <f>IF(OR(L477="",M477=""),0,MAX(0,ROUND((M477-L477)*24-G477,2)))</f>
      </c>
      <c r="Q477" s="12">
        <f>IF(P477=0,0,MIN(P477,'00_Parametres'!$B$23))</f>
      </c>
      <c r="R477" s="12">
        <f>IF(P477=0,0,MAX(0,P477-'00_Parametres'!$B$23))</f>
      </c>
      <c r="S477" s="10"/>
      <c r="T477" s="10"/>
      <c r="U477" s="10"/>
    </row>
    <row r="478" spans="1:21" x14ac:dyDescent="0.25">
      <c r="A478" s="18"/>
      <c r="B478" s="18"/>
      <c r="C478" s="9">
        <f>IF(B478="","",IFERROR(VLOOKUP(B478,'01_Employes'!$A$6:$Q$30,4,FALSE),"⚠ ID inconnu"))</f>
      </c>
      <c r="D478" s="9">
        <f>IF(A478="","",TEXT(A478,"dddd"))</f>
      </c>
      <c r="E478" s="24">
        <f>IF(A478="","",IFERROR(INDEX('00_Parametres'!$C$7:$C$13,WEEKDAY(A478,2)),""))</f>
      </c>
      <c r="F478" s="24">
        <f>IF(A478="","",IFERROR(INDEX('00_Parametres'!$D$7:$D$13,WEEKDAY(A478,2)),""))</f>
      </c>
      <c r="G478" s="24">
        <f>IF(A478="","",IFERROR(INDEX('00_Parametres'!$E$7:$E$13,WEEKDAY(A478,2)),0))</f>
      </c>
      <c r="H478" s="11"/>
      <c r="I478" s="11"/>
      <c r="J478" s="11"/>
      <c r="K478" s="11"/>
      <c r="L478" s="12">
        <f>IF(OR(A478="",H478=""),"",IF(H478&lt;E478,IF(OR(J478="Oui",'00_Parametres'!$B$28="Oui"),H478,E478),H478))</f>
      </c>
      <c r="M478" s="12">
        <f>IF(OR(A478="",I478=""),"",IF(I478&gt;F478,IF(OR(K478="Oui",'00_Parametres'!$B$29="Oui"),I478,F478),I478))</f>
      </c>
      <c r="N478" s="25">
        <f>IF(OR(A478="",H478="",E478=""),0,MAX(0,ROUND((H478-E478)*1440,0)))</f>
      </c>
      <c r="O478" s="25">
        <f>IF(OR(A478="",I478="",F478=""),0,MAX(0,ROUND((F478-I478)*1440,0)))</f>
      </c>
      <c r="P478" s="12">
        <f>IF(OR(L478="",M478=""),0,MAX(0,ROUND((M478-L478)*24-G478,2)))</f>
      </c>
      <c r="Q478" s="12">
        <f>IF(P478=0,0,MIN(P478,'00_Parametres'!$B$23))</f>
      </c>
      <c r="R478" s="12">
        <f>IF(P478=0,0,MAX(0,P478-'00_Parametres'!$B$23))</f>
      </c>
      <c r="S478" s="10"/>
      <c r="T478" s="10"/>
      <c r="U478" s="10"/>
    </row>
    <row r="479" spans="1:21" x14ac:dyDescent="0.25">
      <c r="A479" s="18"/>
      <c r="B479" s="18"/>
      <c r="C479" s="9">
        <f>IF(B479="","",IFERROR(VLOOKUP(B479,'01_Employes'!$A$6:$Q$30,4,FALSE),"⚠ ID inconnu"))</f>
      </c>
      <c r="D479" s="9">
        <f>IF(A479="","",TEXT(A479,"dddd"))</f>
      </c>
      <c r="E479" s="24">
        <f>IF(A479="","",IFERROR(INDEX('00_Parametres'!$C$7:$C$13,WEEKDAY(A479,2)),""))</f>
      </c>
      <c r="F479" s="24">
        <f>IF(A479="","",IFERROR(INDEX('00_Parametres'!$D$7:$D$13,WEEKDAY(A479,2)),""))</f>
      </c>
      <c r="G479" s="24">
        <f>IF(A479="","",IFERROR(INDEX('00_Parametres'!$E$7:$E$13,WEEKDAY(A479,2)),0))</f>
      </c>
      <c r="H479" s="11"/>
      <c r="I479" s="11"/>
      <c r="J479" s="11"/>
      <c r="K479" s="11"/>
      <c r="L479" s="12">
        <f>IF(OR(A479="",H479=""),"",IF(H479&lt;E479,IF(OR(J479="Oui",'00_Parametres'!$B$28="Oui"),H479,E479),H479))</f>
      </c>
      <c r="M479" s="12">
        <f>IF(OR(A479="",I479=""),"",IF(I479&gt;F479,IF(OR(K479="Oui",'00_Parametres'!$B$29="Oui"),I479,F479),I479))</f>
      </c>
      <c r="N479" s="25">
        <f>IF(OR(A479="",H479="",E479=""),0,MAX(0,ROUND((H479-E479)*1440,0)))</f>
      </c>
      <c r="O479" s="25">
        <f>IF(OR(A479="",I479="",F479=""),0,MAX(0,ROUND((F479-I479)*1440,0)))</f>
      </c>
      <c r="P479" s="12">
        <f>IF(OR(L479="",M479=""),0,MAX(0,ROUND((M479-L479)*24-G479,2)))</f>
      </c>
      <c r="Q479" s="12">
        <f>IF(P479=0,0,MIN(P479,'00_Parametres'!$B$23))</f>
      </c>
      <c r="R479" s="12">
        <f>IF(P479=0,0,MAX(0,P479-'00_Parametres'!$B$23))</f>
      </c>
      <c r="S479" s="10"/>
      <c r="T479" s="10"/>
      <c r="U479" s="10"/>
    </row>
    <row r="480" spans="1:21" x14ac:dyDescent="0.25">
      <c r="A480" s="18"/>
      <c r="B480" s="18"/>
      <c r="C480" s="9">
        <f>IF(B480="","",IFERROR(VLOOKUP(B480,'01_Employes'!$A$6:$Q$30,4,FALSE),"⚠ ID inconnu"))</f>
      </c>
      <c r="D480" s="9">
        <f>IF(A480="","",TEXT(A480,"dddd"))</f>
      </c>
      <c r="E480" s="24">
        <f>IF(A480="","",IFERROR(INDEX('00_Parametres'!$C$7:$C$13,WEEKDAY(A480,2)),""))</f>
      </c>
      <c r="F480" s="24">
        <f>IF(A480="","",IFERROR(INDEX('00_Parametres'!$D$7:$D$13,WEEKDAY(A480,2)),""))</f>
      </c>
      <c r="G480" s="24">
        <f>IF(A480="","",IFERROR(INDEX('00_Parametres'!$E$7:$E$13,WEEKDAY(A480,2)),0))</f>
      </c>
      <c r="H480" s="11"/>
      <c r="I480" s="11"/>
      <c r="J480" s="11"/>
      <c r="K480" s="11"/>
      <c r="L480" s="12">
        <f>IF(OR(A480="",H480=""),"",IF(H480&lt;E480,IF(OR(J480="Oui",'00_Parametres'!$B$28="Oui"),H480,E480),H480))</f>
      </c>
      <c r="M480" s="12">
        <f>IF(OR(A480="",I480=""),"",IF(I480&gt;F480,IF(OR(K480="Oui",'00_Parametres'!$B$29="Oui"),I480,F480),I480))</f>
      </c>
      <c r="N480" s="25">
        <f>IF(OR(A480="",H480="",E480=""),0,MAX(0,ROUND((H480-E480)*1440,0)))</f>
      </c>
      <c r="O480" s="25">
        <f>IF(OR(A480="",I480="",F480=""),0,MAX(0,ROUND((F480-I480)*1440,0)))</f>
      </c>
      <c r="P480" s="12">
        <f>IF(OR(L480="",M480=""),0,MAX(0,ROUND((M480-L480)*24-G480,2)))</f>
      </c>
      <c r="Q480" s="12">
        <f>IF(P480=0,0,MIN(P480,'00_Parametres'!$B$23))</f>
      </c>
      <c r="R480" s="12">
        <f>IF(P480=0,0,MAX(0,P480-'00_Parametres'!$B$23))</f>
      </c>
      <c r="S480" s="10"/>
      <c r="T480" s="10"/>
      <c r="U480" s="10"/>
    </row>
    <row r="481" spans="1:21" x14ac:dyDescent="0.25">
      <c r="A481" s="18"/>
      <c r="B481" s="18"/>
      <c r="C481" s="9">
        <f>IF(B481="","",IFERROR(VLOOKUP(B481,'01_Employes'!$A$6:$Q$30,4,FALSE),"⚠ ID inconnu"))</f>
      </c>
      <c r="D481" s="9">
        <f>IF(A481="","",TEXT(A481,"dddd"))</f>
      </c>
      <c r="E481" s="24">
        <f>IF(A481="","",IFERROR(INDEX('00_Parametres'!$C$7:$C$13,WEEKDAY(A481,2)),""))</f>
      </c>
      <c r="F481" s="24">
        <f>IF(A481="","",IFERROR(INDEX('00_Parametres'!$D$7:$D$13,WEEKDAY(A481,2)),""))</f>
      </c>
      <c r="G481" s="24">
        <f>IF(A481="","",IFERROR(INDEX('00_Parametres'!$E$7:$E$13,WEEKDAY(A481,2)),0))</f>
      </c>
      <c r="H481" s="11"/>
      <c r="I481" s="11"/>
      <c r="J481" s="11"/>
      <c r="K481" s="11"/>
      <c r="L481" s="12">
        <f>IF(OR(A481="",H481=""),"",IF(H481&lt;E481,IF(OR(J481="Oui",'00_Parametres'!$B$28="Oui"),H481,E481),H481))</f>
      </c>
      <c r="M481" s="12">
        <f>IF(OR(A481="",I481=""),"",IF(I481&gt;F481,IF(OR(K481="Oui",'00_Parametres'!$B$29="Oui"),I481,F481),I481))</f>
      </c>
      <c r="N481" s="25">
        <f>IF(OR(A481="",H481="",E481=""),0,MAX(0,ROUND((H481-E481)*1440,0)))</f>
      </c>
      <c r="O481" s="25">
        <f>IF(OR(A481="",I481="",F481=""),0,MAX(0,ROUND((F481-I481)*1440,0)))</f>
      </c>
      <c r="P481" s="12">
        <f>IF(OR(L481="",M481=""),0,MAX(0,ROUND((M481-L481)*24-G481,2)))</f>
      </c>
      <c r="Q481" s="12">
        <f>IF(P481=0,0,MIN(P481,'00_Parametres'!$B$23))</f>
      </c>
      <c r="R481" s="12">
        <f>IF(P481=0,0,MAX(0,P481-'00_Parametres'!$B$23))</f>
      </c>
      <c r="S481" s="10"/>
      <c r="T481" s="10"/>
      <c r="U481" s="10"/>
    </row>
    <row r="482" spans="1:21" x14ac:dyDescent="0.25">
      <c r="A482" s="18"/>
      <c r="B482" s="18"/>
      <c r="C482" s="9">
        <f>IF(B482="","",IFERROR(VLOOKUP(B482,'01_Employes'!$A$6:$Q$30,4,FALSE),"⚠ ID inconnu"))</f>
      </c>
      <c r="D482" s="9">
        <f>IF(A482="","",TEXT(A482,"dddd"))</f>
      </c>
      <c r="E482" s="24">
        <f>IF(A482="","",IFERROR(INDEX('00_Parametres'!$C$7:$C$13,WEEKDAY(A482,2)),""))</f>
      </c>
      <c r="F482" s="24">
        <f>IF(A482="","",IFERROR(INDEX('00_Parametres'!$D$7:$D$13,WEEKDAY(A482,2)),""))</f>
      </c>
      <c r="G482" s="24">
        <f>IF(A482="","",IFERROR(INDEX('00_Parametres'!$E$7:$E$13,WEEKDAY(A482,2)),0))</f>
      </c>
      <c r="H482" s="11"/>
      <c r="I482" s="11"/>
      <c r="J482" s="11"/>
      <c r="K482" s="11"/>
      <c r="L482" s="12">
        <f>IF(OR(A482="",H482=""),"",IF(H482&lt;E482,IF(OR(J482="Oui",'00_Parametres'!$B$28="Oui"),H482,E482),H482))</f>
      </c>
      <c r="M482" s="12">
        <f>IF(OR(A482="",I482=""),"",IF(I482&gt;F482,IF(OR(K482="Oui",'00_Parametres'!$B$29="Oui"),I482,F482),I482))</f>
      </c>
      <c r="N482" s="25">
        <f>IF(OR(A482="",H482="",E482=""),0,MAX(0,ROUND((H482-E482)*1440,0)))</f>
      </c>
      <c r="O482" s="25">
        <f>IF(OR(A482="",I482="",F482=""),0,MAX(0,ROUND((F482-I482)*1440,0)))</f>
      </c>
      <c r="P482" s="12">
        <f>IF(OR(L482="",M482=""),0,MAX(0,ROUND((M482-L482)*24-G482,2)))</f>
      </c>
      <c r="Q482" s="12">
        <f>IF(P482=0,0,MIN(P482,'00_Parametres'!$B$23))</f>
      </c>
      <c r="R482" s="12">
        <f>IF(P482=0,0,MAX(0,P482-'00_Parametres'!$B$23))</f>
      </c>
      <c r="S482" s="10"/>
      <c r="T482" s="10"/>
      <c r="U482" s="10"/>
    </row>
    <row r="483" spans="1:21" x14ac:dyDescent="0.25">
      <c r="A483" s="18"/>
      <c r="B483" s="18"/>
      <c r="C483" s="9">
        <f>IF(B483="","",IFERROR(VLOOKUP(B483,'01_Employes'!$A$6:$Q$30,4,FALSE),"⚠ ID inconnu"))</f>
      </c>
      <c r="D483" s="9">
        <f>IF(A483="","",TEXT(A483,"dddd"))</f>
      </c>
      <c r="E483" s="24">
        <f>IF(A483="","",IFERROR(INDEX('00_Parametres'!$C$7:$C$13,WEEKDAY(A483,2)),""))</f>
      </c>
      <c r="F483" s="24">
        <f>IF(A483="","",IFERROR(INDEX('00_Parametres'!$D$7:$D$13,WEEKDAY(A483,2)),""))</f>
      </c>
      <c r="G483" s="24">
        <f>IF(A483="","",IFERROR(INDEX('00_Parametres'!$E$7:$E$13,WEEKDAY(A483,2)),0))</f>
      </c>
      <c r="H483" s="11"/>
      <c r="I483" s="11"/>
      <c r="J483" s="11"/>
      <c r="K483" s="11"/>
      <c r="L483" s="12">
        <f>IF(OR(A483="",H483=""),"",IF(H483&lt;E483,IF(OR(J483="Oui",'00_Parametres'!$B$28="Oui"),H483,E483),H483))</f>
      </c>
      <c r="M483" s="12">
        <f>IF(OR(A483="",I483=""),"",IF(I483&gt;F483,IF(OR(K483="Oui",'00_Parametres'!$B$29="Oui"),I483,F483),I483))</f>
      </c>
      <c r="N483" s="25">
        <f>IF(OR(A483="",H483="",E483=""),0,MAX(0,ROUND((H483-E483)*1440,0)))</f>
      </c>
      <c r="O483" s="25">
        <f>IF(OR(A483="",I483="",F483=""),0,MAX(0,ROUND((F483-I483)*1440,0)))</f>
      </c>
      <c r="P483" s="12">
        <f>IF(OR(L483="",M483=""),0,MAX(0,ROUND((M483-L483)*24-G483,2)))</f>
      </c>
      <c r="Q483" s="12">
        <f>IF(P483=0,0,MIN(P483,'00_Parametres'!$B$23))</f>
      </c>
      <c r="R483" s="12">
        <f>IF(P483=0,0,MAX(0,P483-'00_Parametres'!$B$23))</f>
      </c>
      <c r="S483" s="10"/>
      <c r="T483" s="10"/>
      <c r="U483" s="10"/>
    </row>
    <row r="484" spans="1:21" x14ac:dyDescent="0.25">
      <c r="A484" s="18"/>
      <c r="B484" s="18"/>
      <c r="C484" s="9">
        <f>IF(B484="","",IFERROR(VLOOKUP(B484,'01_Employes'!$A$6:$Q$30,4,FALSE),"⚠ ID inconnu"))</f>
      </c>
      <c r="D484" s="9">
        <f>IF(A484="","",TEXT(A484,"dddd"))</f>
      </c>
      <c r="E484" s="24">
        <f>IF(A484="","",IFERROR(INDEX('00_Parametres'!$C$7:$C$13,WEEKDAY(A484,2)),""))</f>
      </c>
      <c r="F484" s="24">
        <f>IF(A484="","",IFERROR(INDEX('00_Parametres'!$D$7:$D$13,WEEKDAY(A484,2)),""))</f>
      </c>
      <c r="G484" s="24">
        <f>IF(A484="","",IFERROR(INDEX('00_Parametres'!$E$7:$E$13,WEEKDAY(A484,2)),0))</f>
      </c>
      <c r="H484" s="11"/>
      <c r="I484" s="11"/>
      <c r="J484" s="11"/>
      <c r="K484" s="11"/>
      <c r="L484" s="12">
        <f>IF(OR(A484="",H484=""),"",IF(H484&lt;E484,IF(OR(J484="Oui",'00_Parametres'!$B$28="Oui"),H484,E484),H484))</f>
      </c>
      <c r="M484" s="12">
        <f>IF(OR(A484="",I484=""),"",IF(I484&gt;F484,IF(OR(K484="Oui",'00_Parametres'!$B$29="Oui"),I484,F484),I484))</f>
      </c>
      <c r="N484" s="25">
        <f>IF(OR(A484="",H484="",E484=""),0,MAX(0,ROUND((H484-E484)*1440,0)))</f>
      </c>
      <c r="O484" s="25">
        <f>IF(OR(A484="",I484="",F484=""),0,MAX(0,ROUND((F484-I484)*1440,0)))</f>
      </c>
      <c r="P484" s="12">
        <f>IF(OR(L484="",M484=""),0,MAX(0,ROUND((M484-L484)*24-G484,2)))</f>
      </c>
      <c r="Q484" s="12">
        <f>IF(P484=0,0,MIN(P484,'00_Parametres'!$B$23))</f>
      </c>
      <c r="R484" s="12">
        <f>IF(P484=0,0,MAX(0,P484-'00_Parametres'!$B$23))</f>
      </c>
      <c r="S484" s="10"/>
      <c r="T484" s="10"/>
      <c r="U484" s="10"/>
    </row>
    <row r="485" spans="1:21" x14ac:dyDescent="0.25">
      <c r="A485" s="18"/>
      <c r="B485" s="18"/>
      <c r="C485" s="9">
        <f>IF(B485="","",IFERROR(VLOOKUP(B485,'01_Employes'!$A$6:$Q$30,4,FALSE),"⚠ ID inconnu"))</f>
      </c>
      <c r="D485" s="9">
        <f>IF(A485="","",TEXT(A485,"dddd"))</f>
      </c>
      <c r="E485" s="24">
        <f>IF(A485="","",IFERROR(INDEX('00_Parametres'!$C$7:$C$13,WEEKDAY(A485,2)),""))</f>
      </c>
      <c r="F485" s="24">
        <f>IF(A485="","",IFERROR(INDEX('00_Parametres'!$D$7:$D$13,WEEKDAY(A485,2)),""))</f>
      </c>
      <c r="G485" s="24">
        <f>IF(A485="","",IFERROR(INDEX('00_Parametres'!$E$7:$E$13,WEEKDAY(A485,2)),0))</f>
      </c>
      <c r="H485" s="11"/>
      <c r="I485" s="11"/>
      <c r="J485" s="11"/>
      <c r="K485" s="11"/>
      <c r="L485" s="12">
        <f>IF(OR(A485="",H485=""),"",IF(H485&lt;E485,IF(OR(J485="Oui",'00_Parametres'!$B$28="Oui"),H485,E485),H485))</f>
      </c>
      <c r="M485" s="12">
        <f>IF(OR(A485="",I485=""),"",IF(I485&gt;F485,IF(OR(K485="Oui",'00_Parametres'!$B$29="Oui"),I485,F485),I485))</f>
      </c>
      <c r="N485" s="25">
        <f>IF(OR(A485="",H485="",E485=""),0,MAX(0,ROUND((H485-E485)*1440,0)))</f>
      </c>
      <c r="O485" s="25">
        <f>IF(OR(A485="",I485="",F485=""),0,MAX(0,ROUND((F485-I485)*1440,0)))</f>
      </c>
      <c r="P485" s="12">
        <f>IF(OR(L485="",M485=""),0,MAX(0,ROUND((M485-L485)*24-G485,2)))</f>
      </c>
      <c r="Q485" s="12">
        <f>IF(P485=0,0,MIN(P485,'00_Parametres'!$B$23))</f>
      </c>
      <c r="R485" s="12">
        <f>IF(P485=0,0,MAX(0,P485-'00_Parametres'!$B$23))</f>
      </c>
      <c r="S485" s="10"/>
      <c r="T485" s="10"/>
      <c r="U485" s="10"/>
    </row>
    <row r="486" spans="1:21" x14ac:dyDescent="0.25">
      <c r="A486" s="18"/>
      <c r="B486" s="18"/>
      <c r="C486" s="9">
        <f>IF(B486="","",IFERROR(VLOOKUP(B486,'01_Employes'!$A$6:$Q$30,4,FALSE),"⚠ ID inconnu"))</f>
      </c>
      <c r="D486" s="9">
        <f>IF(A486="","",TEXT(A486,"dddd"))</f>
      </c>
      <c r="E486" s="24">
        <f>IF(A486="","",IFERROR(INDEX('00_Parametres'!$C$7:$C$13,WEEKDAY(A486,2)),""))</f>
      </c>
      <c r="F486" s="24">
        <f>IF(A486="","",IFERROR(INDEX('00_Parametres'!$D$7:$D$13,WEEKDAY(A486,2)),""))</f>
      </c>
      <c r="G486" s="24">
        <f>IF(A486="","",IFERROR(INDEX('00_Parametres'!$E$7:$E$13,WEEKDAY(A486,2)),0))</f>
      </c>
      <c r="H486" s="11"/>
      <c r="I486" s="11"/>
      <c r="J486" s="11"/>
      <c r="K486" s="11"/>
      <c r="L486" s="12">
        <f>IF(OR(A486="",H486=""),"",IF(H486&lt;E486,IF(OR(J486="Oui",'00_Parametres'!$B$28="Oui"),H486,E486),H486))</f>
      </c>
      <c r="M486" s="12">
        <f>IF(OR(A486="",I486=""),"",IF(I486&gt;F486,IF(OR(K486="Oui",'00_Parametres'!$B$29="Oui"),I486,F486),I486))</f>
      </c>
      <c r="N486" s="25">
        <f>IF(OR(A486="",H486="",E486=""),0,MAX(0,ROUND((H486-E486)*1440,0)))</f>
      </c>
      <c r="O486" s="25">
        <f>IF(OR(A486="",I486="",F486=""),0,MAX(0,ROUND((F486-I486)*1440,0)))</f>
      </c>
      <c r="P486" s="12">
        <f>IF(OR(L486="",M486=""),0,MAX(0,ROUND((M486-L486)*24-G486,2)))</f>
      </c>
      <c r="Q486" s="12">
        <f>IF(P486=0,0,MIN(P486,'00_Parametres'!$B$23))</f>
      </c>
      <c r="R486" s="12">
        <f>IF(P486=0,0,MAX(0,P486-'00_Parametres'!$B$23))</f>
      </c>
      <c r="S486" s="10"/>
      <c r="T486" s="10"/>
      <c r="U486" s="10"/>
    </row>
    <row r="487" spans="1:21" x14ac:dyDescent="0.25">
      <c r="A487" s="18"/>
      <c r="B487" s="18"/>
      <c r="C487" s="9">
        <f>IF(B487="","",IFERROR(VLOOKUP(B487,'01_Employes'!$A$6:$Q$30,4,FALSE),"⚠ ID inconnu"))</f>
      </c>
      <c r="D487" s="9">
        <f>IF(A487="","",TEXT(A487,"dddd"))</f>
      </c>
      <c r="E487" s="24">
        <f>IF(A487="","",IFERROR(INDEX('00_Parametres'!$C$7:$C$13,WEEKDAY(A487,2)),""))</f>
      </c>
      <c r="F487" s="24">
        <f>IF(A487="","",IFERROR(INDEX('00_Parametres'!$D$7:$D$13,WEEKDAY(A487,2)),""))</f>
      </c>
      <c r="G487" s="24">
        <f>IF(A487="","",IFERROR(INDEX('00_Parametres'!$E$7:$E$13,WEEKDAY(A487,2)),0))</f>
      </c>
      <c r="H487" s="11"/>
      <c r="I487" s="11"/>
      <c r="J487" s="11"/>
      <c r="K487" s="11"/>
      <c r="L487" s="12">
        <f>IF(OR(A487="",H487=""),"",IF(H487&lt;E487,IF(OR(J487="Oui",'00_Parametres'!$B$28="Oui"),H487,E487),H487))</f>
      </c>
      <c r="M487" s="12">
        <f>IF(OR(A487="",I487=""),"",IF(I487&gt;F487,IF(OR(K487="Oui",'00_Parametres'!$B$29="Oui"),I487,F487),I487))</f>
      </c>
      <c r="N487" s="25">
        <f>IF(OR(A487="",H487="",E487=""),0,MAX(0,ROUND((H487-E487)*1440,0)))</f>
      </c>
      <c r="O487" s="25">
        <f>IF(OR(A487="",I487="",F487=""),0,MAX(0,ROUND((F487-I487)*1440,0)))</f>
      </c>
      <c r="P487" s="12">
        <f>IF(OR(L487="",M487=""),0,MAX(0,ROUND((M487-L487)*24-G487,2)))</f>
      </c>
      <c r="Q487" s="12">
        <f>IF(P487=0,0,MIN(P487,'00_Parametres'!$B$23))</f>
      </c>
      <c r="R487" s="12">
        <f>IF(P487=0,0,MAX(0,P487-'00_Parametres'!$B$23))</f>
      </c>
      <c r="S487" s="10"/>
      <c r="T487" s="10"/>
      <c r="U487" s="10"/>
    </row>
    <row r="488" spans="1:21" x14ac:dyDescent="0.25">
      <c r="A488" s="18"/>
      <c r="B488" s="18"/>
      <c r="C488" s="9">
        <f>IF(B488="","",IFERROR(VLOOKUP(B488,'01_Employes'!$A$6:$Q$30,4,FALSE),"⚠ ID inconnu"))</f>
      </c>
      <c r="D488" s="9">
        <f>IF(A488="","",TEXT(A488,"dddd"))</f>
      </c>
      <c r="E488" s="24">
        <f>IF(A488="","",IFERROR(INDEX('00_Parametres'!$C$7:$C$13,WEEKDAY(A488,2)),""))</f>
      </c>
      <c r="F488" s="24">
        <f>IF(A488="","",IFERROR(INDEX('00_Parametres'!$D$7:$D$13,WEEKDAY(A488,2)),""))</f>
      </c>
      <c r="G488" s="24">
        <f>IF(A488="","",IFERROR(INDEX('00_Parametres'!$E$7:$E$13,WEEKDAY(A488,2)),0))</f>
      </c>
      <c r="H488" s="11"/>
      <c r="I488" s="11"/>
      <c r="J488" s="11"/>
      <c r="K488" s="11"/>
      <c r="L488" s="12">
        <f>IF(OR(A488="",H488=""),"",IF(H488&lt;E488,IF(OR(J488="Oui",'00_Parametres'!$B$28="Oui"),H488,E488),H488))</f>
      </c>
      <c r="M488" s="12">
        <f>IF(OR(A488="",I488=""),"",IF(I488&gt;F488,IF(OR(K488="Oui",'00_Parametres'!$B$29="Oui"),I488,F488),I488))</f>
      </c>
      <c r="N488" s="25">
        <f>IF(OR(A488="",H488="",E488=""),0,MAX(0,ROUND((H488-E488)*1440,0)))</f>
      </c>
      <c r="O488" s="25">
        <f>IF(OR(A488="",I488="",F488=""),0,MAX(0,ROUND((F488-I488)*1440,0)))</f>
      </c>
      <c r="P488" s="12">
        <f>IF(OR(L488="",M488=""),0,MAX(0,ROUND((M488-L488)*24-G488,2)))</f>
      </c>
      <c r="Q488" s="12">
        <f>IF(P488=0,0,MIN(P488,'00_Parametres'!$B$23))</f>
      </c>
      <c r="R488" s="12">
        <f>IF(P488=0,0,MAX(0,P488-'00_Parametres'!$B$23))</f>
      </c>
      <c r="S488" s="10"/>
      <c r="T488" s="10"/>
      <c r="U488" s="10"/>
    </row>
    <row r="489" spans="1:21" x14ac:dyDescent="0.25">
      <c r="A489" s="18"/>
      <c r="B489" s="18"/>
      <c r="C489" s="9">
        <f>IF(B489="","",IFERROR(VLOOKUP(B489,'01_Employes'!$A$6:$Q$30,4,FALSE),"⚠ ID inconnu"))</f>
      </c>
      <c r="D489" s="9">
        <f>IF(A489="","",TEXT(A489,"dddd"))</f>
      </c>
      <c r="E489" s="24">
        <f>IF(A489="","",IFERROR(INDEX('00_Parametres'!$C$7:$C$13,WEEKDAY(A489,2)),""))</f>
      </c>
      <c r="F489" s="24">
        <f>IF(A489="","",IFERROR(INDEX('00_Parametres'!$D$7:$D$13,WEEKDAY(A489,2)),""))</f>
      </c>
      <c r="G489" s="24">
        <f>IF(A489="","",IFERROR(INDEX('00_Parametres'!$E$7:$E$13,WEEKDAY(A489,2)),0))</f>
      </c>
      <c r="H489" s="11"/>
      <c r="I489" s="11"/>
      <c r="J489" s="11"/>
      <c r="K489" s="11"/>
      <c r="L489" s="12">
        <f>IF(OR(A489="",H489=""),"",IF(H489&lt;E489,IF(OR(J489="Oui",'00_Parametres'!$B$28="Oui"),H489,E489),H489))</f>
      </c>
      <c r="M489" s="12">
        <f>IF(OR(A489="",I489=""),"",IF(I489&gt;F489,IF(OR(K489="Oui",'00_Parametres'!$B$29="Oui"),I489,F489),I489))</f>
      </c>
      <c r="N489" s="25">
        <f>IF(OR(A489="",H489="",E489=""),0,MAX(0,ROUND((H489-E489)*1440,0)))</f>
      </c>
      <c r="O489" s="25">
        <f>IF(OR(A489="",I489="",F489=""),0,MAX(0,ROUND((F489-I489)*1440,0)))</f>
      </c>
      <c r="P489" s="12">
        <f>IF(OR(L489="",M489=""),0,MAX(0,ROUND((M489-L489)*24-G489,2)))</f>
      </c>
      <c r="Q489" s="12">
        <f>IF(P489=0,0,MIN(P489,'00_Parametres'!$B$23))</f>
      </c>
      <c r="R489" s="12">
        <f>IF(P489=0,0,MAX(0,P489-'00_Parametres'!$B$23))</f>
      </c>
      <c r="S489" s="10"/>
      <c r="T489" s="10"/>
      <c r="U489" s="10"/>
    </row>
    <row r="490" spans="1:21" x14ac:dyDescent="0.25">
      <c r="A490" s="18"/>
      <c r="B490" s="18"/>
      <c r="C490" s="9">
        <f>IF(B490="","",IFERROR(VLOOKUP(B490,'01_Employes'!$A$6:$Q$30,4,FALSE),"⚠ ID inconnu"))</f>
      </c>
      <c r="D490" s="9">
        <f>IF(A490="","",TEXT(A490,"dddd"))</f>
      </c>
      <c r="E490" s="24">
        <f>IF(A490="","",IFERROR(INDEX('00_Parametres'!$C$7:$C$13,WEEKDAY(A490,2)),""))</f>
      </c>
      <c r="F490" s="24">
        <f>IF(A490="","",IFERROR(INDEX('00_Parametres'!$D$7:$D$13,WEEKDAY(A490,2)),""))</f>
      </c>
      <c r="G490" s="24">
        <f>IF(A490="","",IFERROR(INDEX('00_Parametres'!$E$7:$E$13,WEEKDAY(A490,2)),0))</f>
      </c>
      <c r="H490" s="11"/>
      <c r="I490" s="11"/>
      <c r="J490" s="11"/>
      <c r="K490" s="11"/>
      <c r="L490" s="12">
        <f>IF(OR(A490="",H490=""),"",IF(H490&lt;E490,IF(OR(J490="Oui",'00_Parametres'!$B$28="Oui"),H490,E490),H490))</f>
      </c>
      <c r="M490" s="12">
        <f>IF(OR(A490="",I490=""),"",IF(I490&gt;F490,IF(OR(K490="Oui",'00_Parametres'!$B$29="Oui"),I490,F490),I490))</f>
      </c>
      <c r="N490" s="25">
        <f>IF(OR(A490="",H490="",E490=""),0,MAX(0,ROUND((H490-E490)*1440,0)))</f>
      </c>
      <c r="O490" s="25">
        <f>IF(OR(A490="",I490="",F490=""),0,MAX(0,ROUND((F490-I490)*1440,0)))</f>
      </c>
      <c r="P490" s="12">
        <f>IF(OR(L490="",M490=""),0,MAX(0,ROUND((M490-L490)*24-G490,2)))</f>
      </c>
      <c r="Q490" s="12">
        <f>IF(P490=0,0,MIN(P490,'00_Parametres'!$B$23))</f>
      </c>
      <c r="R490" s="12">
        <f>IF(P490=0,0,MAX(0,P490-'00_Parametres'!$B$23))</f>
      </c>
      <c r="S490" s="10"/>
      <c r="T490" s="10"/>
      <c r="U490" s="10"/>
    </row>
    <row r="491" spans="1:21" x14ac:dyDescent="0.25">
      <c r="A491" s="18"/>
      <c r="B491" s="18"/>
      <c r="C491" s="9">
        <f>IF(B491="","",IFERROR(VLOOKUP(B491,'01_Employes'!$A$6:$Q$30,4,FALSE),"⚠ ID inconnu"))</f>
      </c>
      <c r="D491" s="9">
        <f>IF(A491="","",TEXT(A491,"dddd"))</f>
      </c>
      <c r="E491" s="24">
        <f>IF(A491="","",IFERROR(INDEX('00_Parametres'!$C$7:$C$13,WEEKDAY(A491,2)),""))</f>
      </c>
      <c r="F491" s="24">
        <f>IF(A491="","",IFERROR(INDEX('00_Parametres'!$D$7:$D$13,WEEKDAY(A491,2)),""))</f>
      </c>
      <c r="G491" s="24">
        <f>IF(A491="","",IFERROR(INDEX('00_Parametres'!$E$7:$E$13,WEEKDAY(A491,2)),0))</f>
      </c>
      <c r="H491" s="11"/>
      <c r="I491" s="11"/>
      <c r="J491" s="11"/>
      <c r="K491" s="11"/>
      <c r="L491" s="12">
        <f>IF(OR(A491="",H491=""),"",IF(H491&lt;E491,IF(OR(J491="Oui",'00_Parametres'!$B$28="Oui"),H491,E491),H491))</f>
      </c>
      <c r="M491" s="12">
        <f>IF(OR(A491="",I491=""),"",IF(I491&gt;F491,IF(OR(K491="Oui",'00_Parametres'!$B$29="Oui"),I491,F491),I491))</f>
      </c>
      <c r="N491" s="25">
        <f>IF(OR(A491="",H491="",E491=""),0,MAX(0,ROUND((H491-E491)*1440,0)))</f>
      </c>
      <c r="O491" s="25">
        <f>IF(OR(A491="",I491="",F491=""),0,MAX(0,ROUND((F491-I491)*1440,0)))</f>
      </c>
      <c r="P491" s="12">
        <f>IF(OR(L491="",M491=""),0,MAX(0,ROUND((M491-L491)*24-G491,2)))</f>
      </c>
      <c r="Q491" s="12">
        <f>IF(P491=0,0,MIN(P491,'00_Parametres'!$B$23))</f>
      </c>
      <c r="R491" s="12">
        <f>IF(P491=0,0,MAX(0,P491-'00_Parametres'!$B$23))</f>
      </c>
      <c r="S491" s="10"/>
      <c r="T491" s="10"/>
      <c r="U491" s="10"/>
    </row>
    <row r="492" spans="1:21" x14ac:dyDescent="0.25">
      <c r="A492" s="18"/>
      <c r="B492" s="18"/>
      <c r="C492" s="9">
        <f>IF(B492="","",IFERROR(VLOOKUP(B492,'01_Employes'!$A$6:$Q$30,4,FALSE),"⚠ ID inconnu"))</f>
      </c>
      <c r="D492" s="9">
        <f>IF(A492="","",TEXT(A492,"dddd"))</f>
      </c>
      <c r="E492" s="24">
        <f>IF(A492="","",IFERROR(INDEX('00_Parametres'!$C$7:$C$13,WEEKDAY(A492,2)),""))</f>
      </c>
      <c r="F492" s="24">
        <f>IF(A492="","",IFERROR(INDEX('00_Parametres'!$D$7:$D$13,WEEKDAY(A492,2)),""))</f>
      </c>
      <c r="G492" s="24">
        <f>IF(A492="","",IFERROR(INDEX('00_Parametres'!$E$7:$E$13,WEEKDAY(A492,2)),0))</f>
      </c>
      <c r="H492" s="11"/>
      <c r="I492" s="11"/>
      <c r="J492" s="11"/>
      <c r="K492" s="11"/>
      <c r="L492" s="12">
        <f>IF(OR(A492="",H492=""),"",IF(H492&lt;E492,IF(OR(J492="Oui",'00_Parametres'!$B$28="Oui"),H492,E492),H492))</f>
      </c>
      <c r="M492" s="12">
        <f>IF(OR(A492="",I492=""),"",IF(I492&gt;F492,IF(OR(K492="Oui",'00_Parametres'!$B$29="Oui"),I492,F492),I492))</f>
      </c>
      <c r="N492" s="25">
        <f>IF(OR(A492="",H492="",E492=""),0,MAX(0,ROUND((H492-E492)*1440,0)))</f>
      </c>
      <c r="O492" s="25">
        <f>IF(OR(A492="",I492="",F492=""),0,MAX(0,ROUND((F492-I492)*1440,0)))</f>
      </c>
      <c r="P492" s="12">
        <f>IF(OR(L492="",M492=""),0,MAX(0,ROUND((M492-L492)*24-G492,2)))</f>
      </c>
      <c r="Q492" s="12">
        <f>IF(P492=0,0,MIN(P492,'00_Parametres'!$B$23))</f>
      </c>
      <c r="R492" s="12">
        <f>IF(P492=0,0,MAX(0,P492-'00_Parametres'!$B$23))</f>
      </c>
      <c r="S492" s="10"/>
      <c r="T492" s="10"/>
      <c r="U492" s="10"/>
    </row>
    <row r="493" spans="1:21" x14ac:dyDescent="0.25">
      <c r="A493" s="18"/>
      <c r="B493" s="18"/>
      <c r="C493" s="9">
        <f>IF(B493="","",IFERROR(VLOOKUP(B493,'01_Employes'!$A$6:$Q$30,4,FALSE),"⚠ ID inconnu"))</f>
      </c>
      <c r="D493" s="9">
        <f>IF(A493="","",TEXT(A493,"dddd"))</f>
      </c>
      <c r="E493" s="24">
        <f>IF(A493="","",IFERROR(INDEX('00_Parametres'!$C$7:$C$13,WEEKDAY(A493,2)),""))</f>
      </c>
      <c r="F493" s="24">
        <f>IF(A493="","",IFERROR(INDEX('00_Parametres'!$D$7:$D$13,WEEKDAY(A493,2)),""))</f>
      </c>
      <c r="G493" s="24">
        <f>IF(A493="","",IFERROR(INDEX('00_Parametres'!$E$7:$E$13,WEEKDAY(A493,2)),0))</f>
      </c>
      <c r="H493" s="11"/>
      <c r="I493" s="11"/>
      <c r="J493" s="11"/>
      <c r="K493" s="11"/>
      <c r="L493" s="12">
        <f>IF(OR(A493="",H493=""),"",IF(H493&lt;E493,IF(OR(J493="Oui",'00_Parametres'!$B$28="Oui"),H493,E493),H493))</f>
      </c>
      <c r="M493" s="12">
        <f>IF(OR(A493="",I493=""),"",IF(I493&gt;F493,IF(OR(K493="Oui",'00_Parametres'!$B$29="Oui"),I493,F493),I493))</f>
      </c>
      <c r="N493" s="25">
        <f>IF(OR(A493="",H493="",E493=""),0,MAX(0,ROUND((H493-E493)*1440,0)))</f>
      </c>
      <c r="O493" s="25">
        <f>IF(OR(A493="",I493="",F493=""),0,MAX(0,ROUND((F493-I493)*1440,0)))</f>
      </c>
      <c r="P493" s="12">
        <f>IF(OR(L493="",M493=""),0,MAX(0,ROUND((M493-L493)*24-G493,2)))</f>
      </c>
      <c r="Q493" s="12">
        <f>IF(P493=0,0,MIN(P493,'00_Parametres'!$B$23))</f>
      </c>
      <c r="R493" s="12">
        <f>IF(P493=0,0,MAX(0,P493-'00_Parametres'!$B$23))</f>
      </c>
      <c r="S493" s="10"/>
      <c r="T493" s="10"/>
      <c r="U493" s="10"/>
    </row>
    <row r="494" spans="1:21" x14ac:dyDescent="0.25">
      <c r="A494" s="18"/>
      <c r="B494" s="18"/>
      <c r="C494" s="9">
        <f>IF(B494="","",IFERROR(VLOOKUP(B494,'01_Employes'!$A$6:$Q$30,4,FALSE),"⚠ ID inconnu"))</f>
      </c>
      <c r="D494" s="9">
        <f>IF(A494="","",TEXT(A494,"dddd"))</f>
      </c>
      <c r="E494" s="24">
        <f>IF(A494="","",IFERROR(INDEX('00_Parametres'!$C$7:$C$13,WEEKDAY(A494,2)),""))</f>
      </c>
      <c r="F494" s="24">
        <f>IF(A494="","",IFERROR(INDEX('00_Parametres'!$D$7:$D$13,WEEKDAY(A494,2)),""))</f>
      </c>
      <c r="G494" s="24">
        <f>IF(A494="","",IFERROR(INDEX('00_Parametres'!$E$7:$E$13,WEEKDAY(A494,2)),0))</f>
      </c>
      <c r="H494" s="11"/>
      <c r="I494" s="11"/>
      <c r="J494" s="11"/>
      <c r="K494" s="11"/>
      <c r="L494" s="12">
        <f>IF(OR(A494="",H494=""),"",IF(H494&lt;E494,IF(OR(J494="Oui",'00_Parametres'!$B$28="Oui"),H494,E494),H494))</f>
      </c>
      <c r="M494" s="12">
        <f>IF(OR(A494="",I494=""),"",IF(I494&gt;F494,IF(OR(K494="Oui",'00_Parametres'!$B$29="Oui"),I494,F494),I494))</f>
      </c>
      <c r="N494" s="25">
        <f>IF(OR(A494="",H494="",E494=""),0,MAX(0,ROUND((H494-E494)*1440,0)))</f>
      </c>
      <c r="O494" s="25">
        <f>IF(OR(A494="",I494="",F494=""),0,MAX(0,ROUND((F494-I494)*1440,0)))</f>
      </c>
      <c r="P494" s="12">
        <f>IF(OR(L494="",M494=""),0,MAX(0,ROUND((M494-L494)*24-G494,2)))</f>
      </c>
      <c r="Q494" s="12">
        <f>IF(P494=0,0,MIN(P494,'00_Parametres'!$B$23))</f>
      </c>
      <c r="R494" s="12">
        <f>IF(P494=0,0,MAX(0,P494-'00_Parametres'!$B$23))</f>
      </c>
      <c r="S494" s="10"/>
      <c r="T494" s="10"/>
      <c r="U494" s="10"/>
    </row>
    <row r="495" spans="1:21" x14ac:dyDescent="0.25">
      <c r="A495" s="18"/>
      <c r="B495" s="18"/>
      <c r="C495" s="9">
        <f>IF(B495="","",IFERROR(VLOOKUP(B495,'01_Employes'!$A$6:$Q$30,4,FALSE),"⚠ ID inconnu"))</f>
      </c>
      <c r="D495" s="9">
        <f>IF(A495="","",TEXT(A495,"dddd"))</f>
      </c>
      <c r="E495" s="24">
        <f>IF(A495="","",IFERROR(INDEX('00_Parametres'!$C$7:$C$13,WEEKDAY(A495,2)),""))</f>
      </c>
      <c r="F495" s="24">
        <f>IF(A495="","",IFERROR(INDEX('00_Parametres'!$D$7:$D$13,WEEKDAY(A495,2)),""))</f>
      </c>
      <c r="G495" s="24">
        <f>IF(A495="","",IFERROR(INDEX('00_Parametres'!$E$7:$E$13,WEEKDAY(A495,2)),0))</f>
      </c>
      <c r="H495" s="11"/>
      <c r="I495" s="11"/>
      <c r="J495" s="11"/>
      <c r="K495" s="11"/>
      <c r="L495" s="12">
        <f>IF(OR(A495="",H495=""),"",IF(H495&lt;E495,IF(OR(J495="Oui",'00_Parametres'!$B$28="Oui"),H495,E495),H495))</f>
      </c>
      <c r="M495" s="12">
        <f>IF(OR(A495="",I495=""),"",IF(I495&gt;F495,IF(OR(K495="Oui",'00_Parametres'!$B$29="Oui"),I495,F495),I495))</f>
      </c>
      <c r="N495" s="25">
        <f>IF(OR(A495="",H495="",E495=""),0,MAX(0,ROUND((H495-E495)*1440,0)))</f>
      </c>
      <c r="O495" s="25">
        <f>IF(OR(A495="",I495="",F495=""),0,MAX(0,ROUND((F495-I495)*1440,0)))</f>
      </c>
      <c r="P495" s="12">
        <f>IF(OR(L495="",M495=""),0,MAX(0,ROUND((M495-L495)*24-G495,2)))</f>
      </c>
      <c r="Q495" s="12">
        <f>IF(P495=0,0,MIN(P495,'00_Parametres'!$B$23))</f>
      </c>
      <c r="R495" s="12">
        <f>IF(P495=0,0,MAX(0,P495-'00_Parametres'!$B$23))</f>
      </c>
      <c r="S495" s="10"/>
      <c r="T495" s="10"/>
      <c r="U495" s="10"/>
    </row>
    <row r="496" spans="1:21" x14ac:dyDescent="0.25">
      <c r="A496" s="18"/>
      <c r="B496" s="18"/>
      <c r="C496" s="9">
        <f>IF(B496="","",IFERROR(VLOOKUP(B496,'01_Employes'!$A$6:$Q$30,4,FALSE),"⚠ ID inconnu"))</f>
      </c>
      <c r="D496" s="9">
        <f>IF(A496="","",TEXT(A496,"dddd"))</f>
      </c>
      <c r="E496" s="24">
        <f>IF(A496="","",IFERROR(INDEX('00_Parametres'!$C$7:$C$13,WEEKDAY(A496,2)),""))</f>
      </c>
      <c r="F496" s="24">
        <f>IF(A496="","",IFERROR(INDEX('00_Parametres'!$D$7:$D$13,WEEKDAY(A496,2)),""))</f>
      </c>
      <c r="G496" s="24">
        <f>IF(A496="","",IFERROR(INDEX('00_Parametres'!$E$7:$E$13,WEEKDAY(A496,2)),0))</f>
      </c>
      <c r="H496" s="11"/>
      <c r="I496" s="11"/>
      <c r="J496" s="11"/>
      <c r="K496" s="11"/>
      <c r="L496" s="12">
        <f>IF(OR(A496="",H496=""),"",IF(H496&lt;E496,IF(OR(J496="Oui",'00_Parametres'!$B$28="Oui"),H496,E496),H496))</f>
      </c>
      <c r="M496" s="12">
        <f>IF(OR(A496="",I496=""),"",IF(I496&gt;F496,IF(OR(K496="Oui",'00_Parametres'!$B$29="Oui"),I496,F496),I496))</f>
      </c>
      <c r="N496" s="25">
        <f>IF(OR(A496="",H496="",E496=""),0,MAX(0,ROUND((H496-E496)*1440,0)))</f>
      </c>
      <c r="O496" s="25">
        <f>IF(OR(A496="",I496="",F496=""),0,MAX(0,ROUND((F496-I496)*1440,0)))</f>
      </c>
      <c r="P496" s="12">
        <f>IF(OR(L496="",M496=""),0,MAX(0,ROUND((M496-L496)*24-G496,2)))</f>
      </c>
      <c r="Q496" s="12">
        <f>IF(P496=0,0,MIN(P496,'00_Parametres'!$B$23))</f>
      </c>
      <c r="R496" s="12">
        <f>IF(P496=0,0,MAX(0,P496-'00_Parametres'!$B$23))</f>
      </c>
      <c r="S496" s="10"/>
      <c r="T496" s="10"/>
      <c r="U496" s="10"/>
    </row>
    <row r="497" spans="1:21" x14ac:dyDescent="0.25">
      <c r="A497" s="18"/>
      <c r="B497" s="18"/>
      <c r="C497" s="9">
        <f>IF(B497="","",IFERROR(VLOOKUP(B497,'01_Employes'!$A$6:$Q$30,4,FALSE),"⚠ ID inconnu"))</f>
      </c>
      <c r="D497" s="9">
        <f>IF(A497="","",TEXT(A497,"dddd"))</f>
      </c>
      <c r="E497" s="24">
        <f>IF(A497="","",IFERROR(INDEX('00_Parametres'!$C$7:$C$13,WEEKDAY(A497,2)),""))</f>
      </c>
      <c r="F497" s="24">
        <f>IF(A497="","",IFERROR(INDEX('00_Parametres'!$D$7:$D$13,WEEKDAY(A497,2)),""))</f>
      </c>
      <c r="G497" s="24">
        <f>IF(A497="","",IFERROR(INDEX('00_Parametres'!$E$7:$E$13,WEEKDAY(A497,2)),0))</f>
      </c>
      <c r="H497" s="11"/>
      <c r="I497" s="11"/>
      <c r="J497" s="11"/>
      <c r="K497" s="11"/>
      <c r="L497" s="12">
        <f>IF(OR(A497="",H497=""),"",IF(H497&lt;E497,IF(OR(J497="Oui",'00_Parametres'!$B$28="Oui"),H497,E497),H497))</f>
      </c>
      <c r="M497" s="12">
        <f>IF(OR(A497="",I497=""),"",IF(I497&gt;F497,IF(OR(K497="Oui",'00_Parametres'!$B$29="Oui"),I497,F497),I497))</f>
      </c>
      <c r="N497" s="25">
        <f>IF(OR(A497="",H497="",E497=""),0,MAX(0,ROUND((H497-E497)*1440,0)))</f>
      </c>
      <c r="O497" s="25">
        <f>IF(OR(A497="",I497="",F497=""),0,MAX(0,ROUND((F497-I497)*1440,0)))</f>
      </c>
      <c r="P497" s="12">
        <f>IF(OR(L497="",M497=""),0,MAX(0,ROUND((M497-L497)*24-G497,2)))</f>
      </c>
      <c r="Q497" s="12">
        <f>IF(P497=0,0,MIN(P497,'00_Parametres'!$B$23))</f>
      </c>
      <c r="R497" s="12">
        <f>IF(P497=0,0,MAX(0,P497-'00_Parametres'!$B$23))</f>
      </c>
      <c r="S497" s="10"/>
      <c r="T497" s="10"/>
      <c r="U497" s="10"/>
    </row>
    <row r="498" spans="1:21" x14ac:dyDescent="0.25">
      <c r="A498" s="18"/>
      <c r="B498" s="18"/>
      <c r="C498" s="9">
        <f>IF(B498="","",IFERROR(VLOOKUP(B498,'01_Employes'!$A$6:$Q$30,4,FALSE),"⚠ ID inconnu"))</f>
      </c>
      <c r="D498" s="9">
        <f>IF(A498="","",TEXT(A498,"dddd"))</f>
      </c>
      <c r="E498" s="24">
        <f>IF(A498="","",IFERROR(INDEX('00_Parametres'!$C$7:$C$13,WEEKDAY(A498,2)),""))</f>
      </c>
      <c r="F498" s="24">
        <f>IF(A498="","",IFERROR(INDEX('00_Parametres'!$D$7:$D$13,WEEKDAY(A498,2)),""))</f>
      </c>
      <c r="G498" s="24">
        <f>IF(A498="","",IFERROR(INDEX('00_Parametres'!$E$7:$E$13,WEEKDAY(A498,2)),0))</f>
      </c>
      <c r="H498" s="11"/>
      <c r="I498" s="11"/>
      <c r="J498" s="11"/>
      <c r="K498" s="11"/>
      <c r="L498" s="12">
        <f>IF(OR(A498="",H498=""),"",IF(H498&lt;E498,IF(OR(J498="Oui",'00_Parametres'!$B$28="Oui"),H498,E498),H498))</f>
      </c>
      <c r="M498" s="12">
        <f>IF(OR(A498="",I498=""),"",IF(I498&gt;F498,IF(OR(K498="Oui",'00_Parametres'!$B$29="Oui"),I498,F498),I498))</f>
      </c>
      <c r="N498" s="25">
        <f>IF(OR(A498="",H498="",E498=""),0,MAX(0,ROUND((H498-E498)*1440,0)))</f>
      </c>
      <c r="O498" s="25">
        <f>IF(OR(A498="",I498="",F498=""),0,MAX(0,ROUND((F498-I498)*1440,0)))</f>
      </c>
      <c r="P498" s="12">
        <f>IF(OR(L498="",M498=""),0,MAX(0,ROUND((M498-L498)*24-G498,2)))</f>
      </c>
      <c r="Q498" s="12">
        <f>IF(P498=0,0,MIN(P498,'00_Parametres'!$B$23))</f>
      </c>
      <c r="R498" s="12">
        <f>IF(P498=0,0,MAX(0,P498-'00_Parametres'!$B$23))</f>
      </c>
      <c r="S498" s="10"/>
      <c r="T498" s="10"/>
      <c r="U498" s="10"/>
    </row>
    <row r="499" spans="1:21" x14ac:dyDescent="0.25">
      <c r="A499" s="18"/>
      <c r="B499" s="18"/>
      <c r="C499" s="9">
        <f>IF(B499="","",IFERROR(VLOOKUP(B499,'01_Employes'!$A$6:$Q$30,4,FALSE),"⚠ ID inconnu"))</f>
      </c>
      <c r="D499" s="9">
        <f>IF(A499="","",TEXT(A499,"dddd"))</f>
      </c>
      <c r="E499" s="24">
        <f>IF(A499="","",IFERROR(INDEX('00_Parametres'!$C$7:$C$13,WEEKDAY(A499,2)),""))</f>
      </c>
      <c r="F499" s="24">
        <f>IF(A499="","",IFERROR(INDEX('00_Parametres'!$D$7:$D$13,WEEKDAY(A499,2)),""))</f>
      </c>
      <c r="G499" s="24">
        <f>IF(A499="","",IFERROR(INDEX('00_Parametres'!$E$7:$E$13,WEEKDAY(A499,2)),0))</f>
      </c>
      <c r="H499" s="11"/>
      <c r="I499" s="11"/>
      <c r="J499" s="11"/>
      <c r="K499" s="11"/>
      <c r="L499" s="12">
        <f>IF(OR(A499="",H499=""),"",IF(H499&lt;E499,IF(OR(J499="Oui",'00_Parametres'!$B$28="Oui"),H499,E499),H499))</f>
      </c>
      <c r="M499" s="12">
        <f>IF(OR(A499="",I499=""),"",IF(I499&gt;F499,IF(OR(K499="Oui",'00_Parametres'!$B$29="Oui"),I499,F499),I499))</f>
      </c>
      <c r="N499" s="25">
        <f>IF(OR(A499="",H499="",E499=""),0,MAX(0,ROUND((H499-E499)*1440,0)))</f>
      </c>
      <c r="O499" s="25">
        <f>IF(OR(A499="",I499="",F499=""),0,MAX(0,ROUND((F499-I499)*1440,0)))</f>
      </c>
      <c r="P499" s="12">
        <f>IF(OR(L499="",M499=""),0,MAX(0,ROUND((M499-L499)*24-G499,2)))</f>
      </c>
      <c r="Q499" s="12">
        <f>IF(P499=0,0,MIN(P499,'00_Parametres'!$B$23))</f>
      </c>
      <c r="R499" s="12">
        <f>IF(P499=0,0,MAX(0,P499-'00_Parametres'!$B$23))</f>
      </c>
      <c r="S499" s="10"/>
      <c r="T499" s="10"/>
      <c r="U499" s="10"/>
    </row>
    <row r="500" spans="1:21" x14ac:dyDescent="0.25">
      <c r="A500" s="18"/>
      <c r="B500" s="18"/>
      <c r="C500" s="9">
        <f>IF(B500="","",IFERROR(VLOOKUP(B500,'01_Employes'!$A$6:$Q$30,4,FALSE),"⚠ ID inconnu"))</f>
      </c>
      <c r="D500" s="9">
        <f>IF(A500="","",TEXT(A500,"dddd"))</f>
      </c>
      <c r="E500" s="24">
        <f>IF(A500="","",IFERROR(INDEX('00_Parametres'!$C$7:$C$13,WEEKDAY(A500,2)),""))</f>
      </c>
      <c r="F500" s="24">
        <f>IF(A500="","",IFERROR(INDEX('00_Parametres'!$D$7:$D$13,WEEKDAY(A500,2)),""))</f>
      </c>
      <c r="G500" s="24">
        <f>IF(A500="","",IFERROR(INDEX('00_Parametres'!$E$7:$E$13,WEEKDAY(A500,2)),0))</f>
      </c>
      <c r="H500" s="11"/>
      <c r="I500" s="11"/>
      <c r="J500" s="11"/>
      <c r="K500" s="11"/>
      <c r="L500" s="12">
        <f>IF(OR(A500="",H500=""),"",IF(H500&lt;E500,IF(OR(J500="Oui",'00_Parametres'!$B$28="Oui"),H500,E500),H500))</f>
      </c>
      <c r="M500" s="12">
        <f>IF(OR(A500="",I500=""),"",IF(I500&gt;F500,IF(OR(K500="Oui",'00_Parametres'!$B$29="Oui"),I500,F500),I500))</f>
      </c>
      <c r="N500" s="25">
        <f>IF(OR(A500="",H500="",E500=""),0,MAX(0,ROUND((H500-E500)*1440,0)))</f>
      </c>
      <c r="O500" s="25">
        <f>IF(OR(A500="",I500="",F500=""),0,MAX(0,ROUND((F500-I500)*1440,0)))</f>
      </c>
      <c r="P500" s="12">
        <f>IF(OR(L500="",M500=""),0,MAX(0,ROUND((M500-L500)*24-G500,2)))</f>
      </c>
      <c r="Q500" s="12">
        <f>IF(P500=0,0,MIN(P500,'00_Parametres'!$B$23))</f>
      </c>
      <c r="R500" s="12">
        <f>IF(P500=0,0,MAX(0,P500-'00_Parametres'!$B$23))</f>
      </c>
      <c r="S500" s="10"/>
      <c r="T500" s="10"/>
      <c r="U500" s="10"/>
    </row>
    <row r="501" spans="1:21" x14ac:dyDescent="0.25">
      <c r="A501" s="18"/>
      <c r="B501" s="18"/>
      <c r="C501" s="9">
        <f>IF(B501="","",IFERROR(VLOOKUP(B501,'01_Employes'!$A$6:$Q$30,4,FALSE),"⚠ ID inconnu"))</f>
      </c>
      <c r="D501" s="9">
        <f>IF(A501="","",TEXT(A501,"dddd"))</f>
      </c>
      <c r="E501" s="24">
        <f>IF(A501="","",IFERROR(INDEX('00_Parametres'!$C$7:$C$13,WEEKDAY(A501,2)),""))</f>
      </c>
      <c r="F501" s="24">
        <f>IF(A501="","",IFERROR(INDEX('00_Parametres'!$D$7:$D$13,WEEKDAY(A501,2)),""))</f>
      </c>
      <c r="G501" s="24">
        <f>IF(A501="","",IFERROR(INDEX('00_Parametres'!$E$7:$E$13,WEEKDAY(A501,2)),0))</f>
      </c>
      <c r="H501" s="11"/>
      <c r="I501" s="11"/>
      <c r="J501" s="11"/>
      <c r="K501" s="11"/>
      <c r="L501" s="12">
        <f>IF(OR(A501="",H501=""),"",IF(H501&lt;E501,IF(OR(J501="Oui",'00_Parametres'!$B$28="Oui"),H501,E501),H501))</f>
      </c>
      <c r="M501" s="12">
        <f>IF(OR(A501="",I501=""),"",IF(I501&gt;F501,IF(OR(K501="Oui",'00_Parametres'!$B$29="Oui"),I501,F501),I501))</f>
      </c>
      <c r="N501" s="25">
        <f>IF(OR(A501="",H501="",E501=""),0,MAX(0,ROUND((H501-E501)*1440,0)))</f>
      </c>
      <c r="O501" s="25">
        <f>IF(OR(A501="",I501="",F501=""),0,MAX(0,ROUND((F501-I501)*1440,0)))</f>
      </c>
      <c r="P501" s="12">
        <f>IF(OR(L501="",M501=""),0,MAX(0,ROUND((M501-L501)*24-G501,2)))</f>
      </c>
      <c r="Q501" s="12">
        <f>IF(P501=0,0,MIN(P501,'00_Parametres'!$B$23))</f>
      </c>
      <c r="R501" s="12">
        <f>IF(P501=0,0,MAX(0,P501-'00_Parametres'!$B$23))</f>
      </c>
      <c r="S501" s="10"/>
      <c r="T501" s="10"/>
      <c r="U501" s="10"/>
    </row>
    <row r="502" spans="1:21" x14ac:dyDescent="0.25">
      <c r="A502" s="18"/>
      <c r="B502" s="18"/>
      <c r="C502" s="9">
        <f>IF(B502="","",IFERROR(VLOOKUP(B502,'01_Employes'!$A$6:$Q$30,4,FALSE),"⚠ ID inconnu"))</f>
      </c>
      <c r="D502" s="9">
        <f>IF(A502="","",TEXT(A502,"dddd"))</f>
      </c>
      <c r="E502" s="24">
        <f>IF(A502="","",IFERROR(INDEX('00_Parametres'!$C$7:$C$13,WEEKDAY(A502,2)),""))</f>
      </c>
      <c r="F502" s="24">
        <f>IF(A502="","",IFERROR(INDEX('00_Parametres'!$D$7:$D$13,WEEKDAY(A502,2)),""))</f>
      </c>
      <c r="G502" s="24">
        <f>IF(A502="","",IFERROR(INDEX('00_Parametres'!$E$7:$E$13,WEEKDAY(A502,2)),0))</f>
      </c>
      <c r="H502" s="11"/>
      <c r="I502" s="11"/>
      <c r="J502" s="11"/>
      <c r="K502" s="11"/>
      <c r="L502" s="12">
        <f>IF(OR(A502="",H502=""),"",IF(H502&lt;E502,IF(OR(J502="Oui",'00_Parametres'!$B$28="Oui"),H502,E502),H502))</f>
      </c>
      <c r="M502" s="12">
        <f>IF(OR(A502="",I502=""),"",IF(I502&gt;F502,IF(OR(K502="Oui",'00_Parametres'!$B$29="Oui"),I502,F502),I502))</f>
      </c>
      <c r="N502" s="25">
        <f>IF(OR(A502="",H502="",E502=""),0,MAX(0,ROUND((H502-E502)*1440,0)))</f>
      </c>
      <c r="O502" s="25">
        <f>IF(OR(A502="",I502="",F502=""),0,MAX(0,ROUND((F502-I502)*1440,0)))</f>
      </c>
      <c r="P502" s="12">
        <f>IF(OR(L502="",M502=""),0,MAX(0,ROUND((M502-L502)*24-G502,2)))</f>
      </c>
      <c r="Q502" s="12">
        <f>IF(P502=0,0,MIN(P502,'00_Parametres'!$B$23))</f>
      </c>
      <c r="R502" s="12">
        <f>IF(P502=0,0,MAX(0,P502-'00_Parametres'!$B$23))</f>
      </c>
      <c r="S502" s="10"/>
      <c r="T502" s="10"/>
      <c r="U502" s="10"/>
    </row>
    <row r="503" spans="1:21" x14ac:dyDescent="0.25">
      <c r="A503" s="18"/>
      <c r="B503" s="18"/>
      <c r="C503" s="9">
        <f>IF(B503="","",IFERROR(VLOOKUP(B503,'01_Employes'!$A$6:$Q$30,4,FALSE),"⚠ ID inconnu"))</f>
      </c>
      <c r="D503" s="9">
        <f>IF(A503="","",TEXT(A503,"dddd"))</f>
      </c>
      <c r="E503" s="24">
        <f>IF(A503="","",IFERROR(INDEX('00_Parametres'!$C$7:$C$13,WEEKDAY(A503,2)),""))</f>
      </c>
      <c r="F503" s="24">
        <f>IF(A503="","",IFERROR(INDEX('00_Parametres'!$D$7:$D$13,WEEKDAY(A503,2)),""))</f>
      </c>
      <c r="G503" s="24">
        <f>IF(A503="","",IFERROR(INDEX('00_Parametres'!$E$7:$E$13,WEEKDAY(A503,2)),0))</f>
      </c>
      <c r="H503" s="11"/>
      <c r="I503" s="11"/>
      <c r="J503" s="11"/>
      <c r="K503" s="11"/>
      <c r="L503" s="12">
        <f>IF(OR(A503="",H503=""),"",IF(H503&lt;E503,IF(OR(J503="Oui",'00_Parametres'!$B$28="Oui"),H503,E503),H503))</f>
      </c>
      <c r="M503" s="12">
        <f>IF(OR(A503="",I503=""),"",IF(I503&gt;F503,IF(OR(K503="Oui",'00_Parametres'!$B$29="Oui"),I503,F503),I503))</f>
      </c>
      <c r="N503" s="25">
        <f>IF(OR(A503="",H503="",E503=""),0,MAX(0,ROUND((H503-E503)*1440,0)))</f>
      </c>
      <c r="O503" s="25">
        <f>IF(OR(A503="",I503="",F503=""),0,MAX(0,ROUND((F503-I503)*1440,0)))</f>
      </c>
      <c r="P503" s="12">
        <f>IF(OR(L503="",M503=""),0,MAX(0,ROUND((M503-L503)*24-G503,2)))</f>
      </c>
      <c r="Q503" s="12">
        <f>IF(P503=0,0,MIN(P503,'00_Parametres'!$B$23))</f>
      </c>
      <c r="R503" s="12">
        <f>IF(P503=0,0,MAX(0,P503-'00_Parametres'!$B$23))</f>
      </c>
      <c r="S503" s="10"/>
      <c r="T503" s="10"/>
      <c r="U503" s="10"/>
    </row>
    <row r="504" spans="1:21" x14ac:dyDescent="0.25">
      <c r="A504" s="18"/>
      <c r="B504" s="18"/>
      <c r="C504" s="9">
        <f>IF(B504="","",IFERROR(VLOOKUP(B504,'01_Employes'!$A$6:$Q$30,4,FALSE),"⚠ ID inconnu"))</f>
      </c>
      <c r="D504" s="9">
        <f>IF(A504="","",TEXT(A504,"dddd"))</f>
      </c>
      <c r="E504" s="24">
        <f>IF(A504="","",IFERROR(INDEX('00_Parametres'!$C$7:$C$13,WEEKDAY(A504,2)),""))</f>
      </c>
      <c r="F504" s="24">
        <f>IF(A504="","",IFERROR(INDEX('00_Parametres'!$D$7:$D$13,WEEKDAY(A504,2)),""))</f>
      </c>
      <c r="G504" s="24">
        <f>IF(A504="","",IFERROR(INDEX('00_Parametres'!$E$7:$E$13,WEEKDAY(A504,2)),0))</f>
      </c>
      <c r="H504" s="11"/>
      <c r="I504" s="11"/>
      <c r="J504" s="11"/>
      <c r="K504" s="11"/>
      <c r="L504" s="12">
        <f>IF(OR(A504="",H504=""),"",IF(H504&lt;E504,IF(OR(J504="Oui",'00_Parametres'!$B$28="Oui"),H504,E504),H504))</f>
      </c>
      <c r="M504" s="12">
        <f>IF(OR(A504="",I504=""),"",IF(I504&gt;F504,IF(OR(K504="Oui",'00_Parametres'!$B$29="Oui"),I504,F504),I504))</f>
      </c>
      <c r="N504" s="25">
        <f>IF(OR(A504="",H504="",E504=""),0,MAX(0,ROUND((H504-E504)*1440,0)))</f>
      </c>
      <c r="O504" s="25">
        <f>IF(OR(A504="",I504="",F504=""),0,MAX(0,ROUND((F504-I504)*1440,0)))</f>
      </c>
      <c r="P504" s="12">
        <f>IF(OR(L504="",M504=""),0,MAX(0,ROUND((M504-L504)*24-G504,2)))</f>
      </c>
      <c r="Q504" s="12">
        <f>IF(P504=0,0,MIN(P504,'00_Parametres'!$B$23))</f>
      </c>
      <c r="R504" s="12">
        <f>IF(P504=0,0,MAX(0,P504-'00_Parametres'!$B$23))</f>
      </c>
      <c r="S504" s="10"/>
      <c r="T504" s="10"/>
      <c r="U504" s="10"/>
    </row>
    <row r="505" spans="1:21" x14ac:dyDescent="0.25">
      <c r="A505" s="18"/>
      <c r="B505" s="18"/>
      <c r="C505" s="9">
        <f>IF(B505="","",IFERROR(VLOOKUP(B505,'01_Employes'!$A$6:$Q$30,4,FALSE),"⚠ ID inconnu"))</f>
      </c>
      <c r="D505" s="9">
        <f>IF(A505="","",TEXT(A505,"dddd"))</f>
      </c>
      <c r="E505" s="24">
        <f>IF(A505="","",IFERROR(INDEX('00_Parametres'!$C$7:$C$13,WEEKDAY(A505,2)),""))</f>
      </c>
      <c r="F505" s="24">
        <f>IF(A505="","",IFERROR(INDEX('00_Parametres'!$D$7:$D$13,WEEKDAY(A505,2)),""))</f>
      </c>
      <c r="G505" s="24">
        <f>IF(A505="","",IFERROR(INDEX('00_Parametres'!$E$7:$E$13,WEEKDAY(A505,2)),0))</f>
      </c>
      <c r="H505" s="11"/>
      <c r="I505" s="11"/>
      <c r="J505" s="11"/>
      <c r="K505" s="11"/>
      <c r="L505" s="12">
        <f>IF(OR(A505="",H505=""),"",IF(H505&lt;E505,IF(OR(J505="Oui",'00_Parametres'!$B$28="Oui"),H505,E505),H505))</f>
      </c>
      <c r="M505" s="12">
        <f>IF(OR(A505="",I505=""),"",IF(I505&gt;F505,IF(OR(K505="Oui",'00_Parametres'!$B$29="Oui"),I505,F505),I505))</f>
      </c>
      <c r="N505" s="25">
        <f>IF(OR(A505="",H505="",E505=""),0,MAX(0,ROUND((H505-E505)*1440,0)))</f>
      </c>
      <c r="O505" s="25">
        <f>IF(OR(A505="",I505="",F505=""),0,MAX(0,ROUND((F505-I505)*1440,0)))</f>
      </c>
      <c r="P505" s="12">
        <f>IF(OR(L505="",M505=""),0,MAX(0,ROUND((M505-L505)*24-G505,2)))</f>
      </c>
      <c r="Q505" s="12">
        <f>IF(P505=0,0,MIN(P505,'00_Parametres'!$B$23))</f>
      </c>
      <c r="R505" s="12">
        <f>IF(P505=0,0,MAX(0,P505-'00_Parametres'!$B$23))</f>
      </c>
      <c r="S505" s="10"/>
      <c r="T505" s="10"/>
      <c r="U505" s="10"/>
    </row>
  </sheetData>
  <sheetProtection sheet="1" formatCells="0" formatColumns="0" formatRows="0" autoFilter="0" algorithmName="SHA-512" hashValue="SsBtcxzSzrPlQ0efaAHPA79D8gd072HuXKocMzomSl99yE2vOsfMqpjA8TzOdFJAql8zwXB8untzS9kfGx9Dxw==" saltValue="8wgi/KmI9H+j10EuUF8oyg==" spinCount="100000"/>
  <mergeCells count="1">
    <mergeCell ref="A1:U1"/>
  </mergeCells>
  <conditionalFormatting sqref="A6:U505">
    <cfRule type="expression" dxfId="0" priority="1">
      <formula>AND($A6&lt;&gt;"",$B6="")</formula>
    </cfRule>
  </conditionalFormatting>
  <conditionalFormatting sqref="A6:U505">
    <cfRule type="expression" dxfId="1" priority="2">
      <formula>AND($A6&lt;&gt;"",$B6&lt;&gt;"",$N6&gt;15)</formula>
    </cfRule>
  </conditionalFormatting>
  <conditionalFormatting sqref="R6:R505">
    <cfRule type="expression" dxfId="2" priority="3">
      <formula>AND(ISNUMBER($R6),$R6&gt;0)</formula>
    </cfRule>
  </conditionalFormatting>
  <dataValidations count="8">
    <dataValidation type="date" allowBlank="1" errorTitle="Date invalide" error="Saisir une vraie date JJ/MM/AAAA (jamais 8/262026)." sqref="A10:A505">
      <formula1>NaN</formula1>
      <formula2>NaN</formula2>
    </dataValidation>
    <dataValidation type="date" allowBlank="1" errorTitle="Date invalide" error="Saisir une vraie date JJ/MM/AAAA (jamais 8/262026)." sqref="A6:A505">
      <formula1>NaN</formula1>
      <formula2>NaN</formula2>
    </dataValidation>
    <dataValidation type="list" allowBlank="1" errorTitle="ID inconnu" error="Choisir un ID existant (01_Employes)." sqref="B10:B505">
      <formula1>='01_Employes'!$A$6:$A$30</formula1>
    </dataValidation>
    <dataValidation type="list" allowBlank="1" errorTitle="ID inconnu" error="Choisir un ID existant (01_Employes)." sqref="B6:B505">
      <formula1>='01_Employes'!$A$6:$A$30</formula1>
    </dataValidation>
    <dataValidation type="list" allowBlank="1" sqref="J10:K505">
      <formula1>"Oui,Non"</formula1>
    </dataValidation>
    <dataValidation type="list" allowBlank="1" sqref="J6:K505">
      <formula1>"Oui,Non"</formula1>
    </dataValidation>
    <dataValidation type="list" allowBlank="1" sqref="S10:S505">
      <formula1>='00_Parametres'!$G$40:$G$48</formula1>
    </dataValidation>
    <dataValidation type="list" allowBlank="1" sqref="S6:S505">
      <formula1>='00_Parametres'!$G$40:$G$48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8" customWidth="1"/>
    <col min="4" max="5" width="13" customWidth="1"/>
    <col min="6" max="8" width="10" customWidth="1"/>
    <col min="9" max="9" width="12" customWidth="1"/>
    <col min="10" max="10" width="13" customWidth="1"/>
    <col min="11" max="11" width="11" customWidth="1"/>
    <col min="12" max="12" width="13" customWidth="1"/>
    <col min="14" max="14" width="20" customWidth="1"/>
  </cols>
  <sheetData>
    <row r="1" ht="24" customHeight="1" spans="1:14" x14ac:dyDescent="0.25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4" spans="1:1" x14ac:dyDescent="0.25">
      <c r="A4" t="s">
        <v>245</v>
      </c>
    </row>
    <row r="5" spans="1:5" x14ac:dyDescent="0.25">
      <c r="A5" t="s">
        <v>246</v>
      </c>
      <c r="B5" s="18">
        <v>46235</v>
      </c>
      <c r="C5" t="s">
        <v>247</v>
      </c>
      <c r="D5" s="18">
        <v>46265</v>
      </c>
      <c r="E5" s="2" t="s">
        <v>248</v>
      </c>
    </row>
    <row r="8" spans="1:8" x14ac:dyDescent="0.25">
      <c r="A8" t="s">
        <v>249</v>
      </c>
      <c r="B8" s="26">
        <f>G27</f>
      </c>
      <c r="C8" t="s">
        <v>250</v>
      </c>
      <c r="D8" s="26">
        <f>H27</f>
      </c>
      <c r="E8" t="s">
        <v>251</v>
      </c>
      <c r="F8" s="26">
        <f>I27</f>
      </c>
      <c r="G8" t="s">
        <v>252</v>
      </c>
      <c r="H8" s="26">
        <f>L27</f>
      </c>
    </row>
    <row r="11" ht="28" customHeight="1" spans="1:14" x14ac:dyDescent="0.25">
      <c r="A11" s="8" t="s">
        <v>145</v>
      </c>
      <c r="B11" s="8" t="s">
        <v>148</v>
      </c>
      <c r="C11" s="8" t="s">
        <v>11</v>
      </c>
      <c r="D11" s="8" t="s">
        <v>253</v>
      </c>
      <c r="E11" s="8" t="s">
        <v>254</v>
      </c>
      <c r="F11" s="8" t="s">
        <v>255</v>
      </c>
      <c r="G11" s="8" t="s">
        <v>234</v>
      </c>
      <c r="H11" s="8" t="s">
        <v>235</v>
      </c>
      <c r="I11" s="8" t="s">
        <v>251</v>
      </c>
      <c r="J11" s="8" t="s">
        <v>256</v>
      </c>
      <c r="K11" s="8" t="s">
        <v>257</v>
      </c>
      <c r="L11" s="8" t="s">
        <v>258</v>
      </c>
      <c r="M11" s="8" t="s">
        <v>259</v>
      </c>
      <c r="N11" s="8" t="s">
        <v>260</v>
      </c>
    </row>
    <row r="12" spans="1:14" x14ac:dyDescent="0.25">
      <c r="A12" s="9">
        <f>IF('01_Employes'!A6="","-",'01_Employes'!A6)</f>
      </c>
      <c r="B12" s="9">
        <f>IF($A12="-","",'01_Employes'!D6)</f>
      </c>
      <c r="C12" s="9">
        <f>IF($A12="-","",'01_Employes'!E6)</f>
      </c>
      <c r="D12" s="9">
        <f>IF($A12="-","",'01_Employes'!K6)</f>
      </c>
      <c r="E12" s="19">
        <f>IF($A12="-","",'01_Employes'!L6)</f>
      </c>
      <c r="F12" s="19">
        <f>IF($A12="-","",'01_Employes'!M6)</f>
      </c>
      <c r="G12" s="12">
        <f>IF($A12="-","",SUMIFS('02_Pointage'!$Q$6:$Q$505,'02_Pointage'!$B$6:$B$505,$A12,'02_Pointage'!$A$6:$A$505,"&gt;="&amp;$B$5,'02_Pointage'!$A$6:$A$505,"&lt;="&amp;$D$5))</f>
      </c>
      <c r="H12" s="12">
        <f>IF($A12="-","",SUMIFS('02_Pointage'!$R$6:$R$505,'02_Pointage'!$B$6:$B$505,$A12,'02_Pointage'!$A$6:$A$505,"&gt;="&amp;$B$5,'02_Pointage'!$A$6:$A$505,"&lt;="&amp;$D$5))</f>
      </c>
      <c r="I12" s="19">
        <f>IF($A12="-","",SUMIFS('02_Pointage'!$T$6:$T$505,'02_Pointage'!$B$6:$B$505,$A12,'02_Pointage'!$A$6:$A$505,"&gt;="&amp;$B$5,'02_Pointage'!$A$6:$A$505,"&lt;="&amp;$D$5))</f>
      </c>
      <c r="J12" s="19">
        <f>IF(OR($A12="-",$G12=""),0,ROUND($G12*$F12,0))</f>
      </c>
      <c r="K12" s="19">
        <f>IF(OR($A12="-",$H12=""),0,ROUND($H12*IFERROR(VLOOKUP($A12,'01_Employes'!$A$6:$Q$30,14,FALSE),0),0))</f>
      </c>
      <c r="L12" s="19">
        <f>IF($A12="-","",$J12+$K12+$I12)</f>
      </c>
      <c r="M12">
        <f>IF($A12="-","",COUNTIFS('02_Pointage'!$B$6:$B$505,$A12,'02_Pointage'!$A$6:$A$505,"&gt;="&amp;$B$5,'02_Pointage'!$A$6:$A$505,"&lt;="&amp;$D$5,'02_Pointage'!$P$6:$P$505,"&gt;0"))</f>
      </c>
      <c r="N12" s="10"/>
    </row>
    <row r="13" spans="1:14" x14ac:dyDescent="0.25">
      <c r="A13" s="9">
        <f>IF('01_Employes'!A7="","-",'01_Employes'!A7)</f>
      </c>
      <c r="B13" s="9">
        <f>IF($A13="-","",'01_Employes'!D7)</f>
      </c>
      <c r="C13" s="9">
        <f>IF($A13="-","",'01_Employes'!E7)</f>
      </c>
      <c r="D13" s="9">
        <f>IF($A13="-","",'01_Employes'!K7)</f>
      </c>
      <c r="E13" s="19">
        <f>IF($A13="-","",'01_Employes'!L7)</f>
      </c>
      <c r="F13" s="19">
        <f>IF($A13="-","",'01_Employes'!M7)</f>
      </c>
      <c r="G13" s="12">
        <f>IF($A13="-","",SUMIFS('02_Pointage'!$Q$6:$Q$505,'02_Pointage'!$B$6:$B$505,$A13,'02_Pointage'!$A$6:$A$505,"&gt;="&amp;$B$5,'02_Pointage'!$A$6:$A$505,"&lt;="&amp;$D$5))</f>
      </c>
      <c r="H13" s="12">
        <f>IF($A13="-","",SUMIFS('02_Pointage'!$R$6:$R$505,'02_Pointage'!$B$6:$B$505,$A13,'02_Pointage'!$A$6:$A$505,"&gt;="&amp;$B$5,'02_Pointage'!$A$6:$A$505,"&lt;="&amp;$D$5))</f>
      </c>
      <c r="I13" s="19">
        <f>IF($A13="-","",SUMIFS('02_Pointage'!$T$6:$T$505,'02_Pointage'!$B$6:$B$505,$A13,'02_Pointage'!$A$6:$A$505,"&gt;="&amp;$B$5,'02_Pointage'!$A$6:$A$505,"&lt;="&amp;$D$5))</f>
      </c>
      <c r="J13" s="19">
        <f>IF(OR($A13="-",$G13=""),0,ROUND($G13*$F13,0))</f>
      </c>
      <c r="K13" s="19">
        <f>IF(OR($A13="-",$H13=""),0,ROUND($H13*IFERROR(VLOOKUP($A13,'01_Employes'!$A$6:$Q$30,14,FALSE),0),0))</f>
      </c>
      <c r="L13" s="19">
        <f>IF($A13="-","",$J13+$K13+$I13)</f>
      </c>
      <c r="M13">
        <f>IF($A13="-","",COUNTIFS('02_Pointage'!$B$6:$B$505,$A13,'02_Pointage'!$A$6:$A$505,"&gt;="&amp;$B$5,'02_Pointage'!$A$6:$A$505,"&lt;="&amp;$D$5,'02_Pointage'!$P$6:$P$505,"&gt;0"))</f>
      </c>
      <c r="N13" s="10"/>
    </row>
    <row r="14" spans="1:14" x14ac:dyDescent="0.25">
      <c r="A14" s="9">
        <f>IF('01_Employes'!A8="","-",'01_Employes'!A8)</f>
      </c>
      <c r="B14" s="9">
        <f>IF($A14="-","",'01_Employes'!D8)</f>
      </c>
      <c r="C14" s="9">
        <f>IF($A14="-","",'01_Employes'!E8)</f>
      </c>
      <c r="D14" s="9">
        <f>IF($A14="-","",'01_Employes'!K8)</f>
      </c>
      <c r="E14" s="19">
        <f>IF($A14="-","",'01_Employes'!L8)</f>
      </c>
      <c r="F14" s="19">
        <f>IF($A14="-","",'01_Employes'!M8)</f>
      </c>
      <c r="G14" s="12">
        <f>IF($A14="-","",SUMIFS('02_Pointage'!$Q$6:$Q$505,'02_Pointage'!$B$6:$B$505,$A14,'02_Pointage'!$A$6:$A$505,"&gt;="&amp;$B$5,'02_Pointage'!$A$6:$A$505,"&lt;="&amp;$D$5))</f>
      </c>
      <c r="H14" s="12">
        <f>IF($A14="-","",SUMIFS('02_Pointage'!$R$6:$R$505,'02_Pointage'!$B$6:$B$505,$A14,'02_Pointage'!$A$6:$A$505,"&gt;="&amp;$B$5,'02_Pointage'!$A$6:$A$505,"&lt;="&amp;$D$5))</f>
      </c>
      <c r="I14" s="19">
        <f>IF($A14="-","",SUMIFS('02_Pointage'!$T$6:$T$505,'02_Pointage'!$B$6:$B$505,$A14,'02_Pointage'!$A$6:$A$505,"&gt;="&amp;$B$5,'02_Pointage'!$A$6:$A$505,"&lt;="&amp;$D$5))</f>
      </c>
      <c r="J14" s="19">
        <f>IF(OR($A14="-",$G14=""),0,ROUND($G14*$F14,0))</f>
      </c>
      <c r="K14" s="19">
        <f>IF(OR($A14="-",$H14=""),0,ROUND($H14*IFERROR(VLOOKUP($A14,'01_Employes'!$A$6:$Q$30,14,FALSE),0),0))</f>
      </c>
      <c r="L14" s="19">
        <f>IF($A14="-","",$J14+$K14+$I14)</f>
      </c>
      <c r="M14">
        <f>IF($A14="-","",COUNTIFS('02_Pointage'!$B$6:$B$505,$A14,'02_Pointage'!$A$6:$A$505,"&gt;="&amp;$B$5,'02_Pointage'!$A$6:$A$505,"&lt;="&amp;$D$5,'02_Pointage'!$P$6:$P$505,"&gt;0"))</f>
      </c>
      <c r="N14" s="10"/>
    </row>
    <row r="15" spans="1:14" x14ac:dyDescent="0.25">
      <c r="A15" s="9">
        <f>IF('01_Employes'!A9="","-",'01_Employes'!A9)</f>
      </c>
      <c r="B15" s="9">
        <f>IF($A15="-","",'01_Employes'!D9)</f>
      </c>
      <c r="C15" s="9">
        <f>IF($A15="-","",'01_Employes'!E9)</f>
      </c>
      <c r="D15" s="9">
        <f>IF($A15="-","",'01_Employes'!K9)</f>
      </c>
      <c r="E15" s="19">
        <f>IF($A15="-","",'01_Employes'!L9)</f>
      </c>
      <c r="F15" s="19">
        <f>IF($A15="-","",'01_Employes'!M9)</f>
      </c>
      <c r="G15" s="12">
        <f>IF($A15="-","",SUMIFS('02_Pointage'!$Q$6:$Q$505,'02_Pointage'!$B$6:$B$505,$A15,'02_Pointage'!$A$6:$A$505,"&gt;="&amp;$B$5,'02_Pointage'!$A$6:$A$505,"&lt;="&amp;$D$5))</f>
      </c>
      <c r="H15" s="12">
        <f>IF($A15="-","",SUMIFS('02_Pointage'!$R$6:$R$505,'02_Pointage'!$B$6:$B$505,$A15,'02_Pointage'!$A$6:$A$505,"&gt;="&amp;$B$5,'02_Pointage'!$A$6:$A$505,"&lt;="&amp;$D$5))</f>
      </c>
      <c r="I15" s="19">
        <f>IF($A15="-","",SUMIFS('02_Pointage'!$T$6:$T$505,'02_Pointage'!$B$6:$B$505,$A15,'02_Pointage'!$A$6:$A$505,"&gt;="&amp;$B$5,'02_Pointage'!$A$6:$A$505,"&lt;="&amp;$D$5))</f>
      </c>
      <c r="J15" s="19">
        <f>IF(OR($A15="-",$G15=""),0,ROUND($G15*$F15,0))</f>
      </c>
      <c r="K15" s="19">
        <f>IF(OR($A15="-",$H15=""),0,ROUND($H15*IFERROR(VLOOKUP($A15,'01_Employes'!$A$6:$Q$30,14,FALSE),0),0))</f>
      </c>
      <c r="L15" s="19">
        <f>IF($A15="-","",$J15+$K15+$I15)</f>
      </c>
      <c r="M15">
        <f>IF($A15="-","",COUNTIFS('02_Pointage'!$B$6:$B$505,$A15,'02_Pointage'!$A$6:$A$505,"&gt;="&amp;$B$5,'02_Pointage'!$A$6:$A$505,"&lt;="&amp;$D$5,'02_Pointage'!$P$6:$P$505,"&gt;0"))</f>
      </c>
      <c r="N15" s="10"/>
    </row>
    <row r="16" spans="1:14" x14ac:dyDescent="0.25">
      <c r="A16" s="9">
        <f>IF('01_Employes'!A10="","-",'01_Employes'!A10)</f>
      </c>
      <c r="B16" s="9">
        <f>IF($A16="-","",'01_Employes'!D10)</f>
      </c>
      <c r="C16" s="9">
        <f>IF($A16="-","",'01_Employes'!E10)</f>
      </c>
      <c r="D16" s="9">
        <f>IF($A16="-","",'01_Employes'!K10)</f>
      </c>
      <c r="E16" s="19">
        <f>IF($A16="-","",'01_Employes'!L10)</f>
      </c>
      <c r="F16" s="19">
        <f>IF($A16="-","",'01_Employes'!M10)</f>
      </c>
      <c r="G16" s="12">
        <f>IF($A16="-","",SUMIFS('02_Pointage'!$Q$6:$Q$505,'02_Pointage'!$B$6:$B$505,$A16,'02_Pointage'!$A$6:$A$505,"&gt;="&amp;$B$5,'02_Pointage'!$A$6:$A$505,"&lt;="&amp;$D$5))</f>
      </c>
      <c r="H16" s="12">
        <f>IF($A16="-","",SUMIFS('02_Pointage'!$R$6:$R$505,'02_Pointage'!$B$6:$B$505,$A16,'02_Pointage'!$A$6:$A$505,"&gt;="&amp;$B$5,'02_Pointage'!$A$6:$A$505,"&lt;="&amp;$D$5))</f>
      </c>
      <c r="I16" s="19">
        <f>IF($A16="-","",SUMIFS('02_Pointage'!$T$6:$T$505,'02_Pointage'!$B$6:$B$505,$A16,'02_Pointage'!$A$6:$A$505,"&gt;="&amp;$B$5,'02_Pointage'!$A$6:$A$505,"&lt;="&amp;$D$5))</f>
      </c>
      <c r="J16" s="19">
        <f>IF(OR($A16="-",$G16=""),0,ROUND($G16*$F16,0))</f>
      </c>
      <c r="K16" s="19">
        <f>IF(OR($A16="-",$H16=""),0,ROUND($H16*IFERROR(VLOOKUP($A16,'01_Employes'!$A$6:$Q$30,14,FALSE),0),0))</f>
      </c>
      <c r="L16" s="19">
        <f>IF($A16="-","",$J16+$K16+$I16)</f>
      </c>
      <c r="M16">
        <f>IF($A16="-","",COUNTIFS('02_Pointage'!$B$6:$B$505,$A16,'02_Pointage'!$A$6:$A$505,"&gt;="&amp;$B$5,'02_Pointage'!$A$6:$A$505,"&lt;="&amp;$D$5,'02_Pointage'!$P$6:$P$505,"&gt;0"))</f>
      </c>
      <c r="N16" s="10"/>
    </row>
    <row r="17" spans="1:14" x14ac:dyDescent="0.25">
      <c r="A17" s="9">
        <f>IF('01_Employes'!A11="","-",'01_Employes'!A11)</f>
      </c>
      <c r="B17" s="9">
        <f>IF($A17="-","",'01_Employes'!D11)</f>
      </c>
      <c r="C17" s="9">
        <f>IF($A17="-","",'01_Employes'!E11)</f>
      </c>
      <c r="D17" s="9">
        <f>IF($A17="-","",'01_Employes'!K11)</f>
      </c>
      <c r="E17" s="19">
        <f>IF($A17="-","",'01_Employes'!L11)</f>
      </c>
      <c r="F17" s="19">
        <f>IF($A17="-","",'01_Employes'!M11)</f>
      </c>
      <c r="G17" s="12">
        <f>IF($A17="-","",SUMIFS('02_Pointage'!$Q$6:$Q$505,'02_Pointage'!$B$6:$B$505,$A17,'02_Pointage'!$A$6:$A$505,"&gt;="&amp;$B$5,'02_Pointage'!$A$6:$A$505,"&lt;="&amp;$D$5))</f>
      </c>
      <c r="H17" s="12">
        <f>IF($A17="-","",SUMIFS('02_Pointage'!$R$6:$R$505,'02_Pointage'!$B$6:$B$505,$A17,'02_Pointage'!$A$6:$A$505,"&gt;="&amp;$B$5,'02_Pointage'!$A$6:$A$505,"&lt;="&amp;$D$5))</f>
      </c>
      <c r="I17" s="19">
        <f>IF($A17="-","",SUMIFS('02_Pointage'!$T$6:$T$505,'02_Pointage'!$B$6:$B$505,$A17,'02_Pointage'!$A$6:$A$505,"&gt;="&amp;$B$5,'02_Pointage'!$A$6:$A$505,"&lt;="&amp;$D$5))</f>
      </c>
      <c r="J17" s="19">
        <f>IF(OR($A17="-",$G17=""),0,ROUND($G17*$F17,0))</f>
      </c>
      <c r="K17" s="19">
        <f>IF(OR($A17="-",$H17=""),0,ROUND($H17*IFERROR(VLOOKUP($A17,'01_Employes'!$A$6:$Q$30,14,FALSE),0),0))</f>
      </c>
      <c r="L17" s="19">
        <f>IF($A17="-","",$J17+$K17+$I17)</f>
      </c>
      <c r="M17">
        <f>IF($A17="-","",COUNTIFS('02_Pointage'!$B$6:$B$505,$A17,'02_Pointage'!$A$6:$A$505,"&gt;="&amp;$B$5,'02_Pointage'!$A$6:$A$505,"&lt;="&amp;$D$5,'02_Pointage'!$P$6:$P$505,"&gt;0"))</f>
      </c>
      <c r="N17" s="10"/>
    </row>
    <row r="18" spans="1:14" x14ac:dyDescent="0.25">
      <c r="A18" s="9">
        <f>IF('01_Employes'!A12="","-",'01_Employes'!A12)</f>
      </c>
      <c r="B18" s="9">
        <f>IF($A18="-","",'01_Employes'!D12)</f>
      </c>
      <c r="C18" s="9">
        <f>IF($A18="-","",'01_Employes'!E12)</f>
      </c>
      <c r="D18" s="9">
        <f>IF($A18="-","",'01_Employes'!K12)</f>
      </c>
      <c r="E18" s="19">
        <f>IF($A18="-","",'01_Employes'!L12)</f>
      </c>
      <c r="F18" s="19">
        <f>IF($A18="-","",'01_Employes'!M12)</f>
      </c>
      <c r="G18" s="12">
        <f>IF($A18="-","",SUMIFS('02_Pointage'!$Q$6:$Q$505,'02_Pointage'!$B$6:$B$505,$A18,'02_Pointage'!$A$6:$A$505,"&gt;="&amp;$B$5,'02_Pointage'!$A$6:$A$505,"&lt;="&amp;$D$5))</f>
      </c>
      <c r="H18" s="12">
        <f>IF($A18="-","",SUMIFS('02_Pointage'!$R$6:$R$505,'02_Pointage'!$B$6:$B$505,$A18,'02_Pointage'!$A$6:$A$505,"&gt;="&amp;$B$5,'02_Pointage'!$A$6:$A$505,"&lt;="&amp;$D$5))</f>
      </c>
      <c r="I18" s="19">
        <f>IF($A18="-","",SUMIFS('02_Pointage'!$T$6:$T$505,'02_Pointage'!$B$6:$B$505,$A18,'02_Pointage'!$A$6:$A$505,"&gt;="&amp;$B$5,'02_Pointage'!$A$6:$A$505,"&lt;="&amp;$D$5))</f>
      </c>
      <c r="J18" s="19">
        <f>IF(OR($A18="-",$G18=""),0,ROUND($G18*$F18,0))</f>
      </c>
      <c r="K18" s="19">
        <f>IF(OR($A18="-",$H18=""),0,ROUND($H18*IFERROR(VLOOKUP($A18,'01_Employes'!$A$6:$Q$30,14,FALSE),0),0))</f>
      </c>
      <c r="L18" s="19">
        <f>IF($A18="-","",$J18+$K18+$I18)</f>
      </c>
      <c r="M18">
        <f>IF($A18="-","",COUNTIFS('02_Pointage'!$B$6:$B$505,$A18,'02_Pointage'!$A$6:$A$505,"&gt;="&amp;$B$5,'02_Pointage'!$A$6:$A$505,"&lt;="&amp;$D$5,'02_Pointage'!$P$6:$P$505,"&gt;0"))</f>
      </c>
      <c r="N18" s="10"/>
    </row>
    <row r="19" spans="1:14" x14ac:dyDescent="0.25">
      <c r="A19" s="9">
        <f>IF('01_Employes'!A13="","-",'01_Employes'!A13)</f>
      </c>
      <c r="B19" s="9">
        <f>IF($A19="-","",'01_Employes'!D13)</f>
      </c>
      <c r="C19" s="9">
        <f>IF($A19="-","",'01_Employes'!E13)</f>
      </c>
      <c r="D19" s="9">
        <f>IF($A19="-","",'01_Employes'!K13)</f>
      </c>
      <c r="E19" s="19">
        <f>IF($A19="-","",'01_Employes'!L13)</f>
      </c>
      <c r="F19" s="19">
        <f>IF($A19="-","",'01_Employes'!M13)</f>
      </c>
      <c r="G19" s="12">
        <f>IF($A19="-","",SUMIFS('02_Pointage'!$Q$6:$Q$505,'02_Pointage'!$B$6:$B$505,$A19,'02_Pointage'!$A$6:$A$505,"&gt;="&amp;$B$5,'02_Pointage'!$A$6:$A$505,"&lt;="&amp;$D$5))</f>
      </c>
      <c r="H19" s="12">
        <f>IF($A19="-","",SUMIFS('02_Pointage'!$R$6:$R$505,'02_Pointage'!$B$6:$B$505,$A19,'02_Pointage'!$A$6:$A$505,"&gt;="&amp;$B$5,'02_Pointage'!$A$6:$A$505,"&lt;="&amp;$D$5))</f>
      </c>
      <c r="I19" s="19">
        <f>IF($A19="-","",SUMIFS('02_Pointage'!$T$6:$T$505,'02_Pointage'!$B$6:$B$505,$A19,'02_Pointage'!$A$6:$A$505,"&gt;="&amp;$B$5,'02_Pointage'!$A$6:$A$505,"&lt;="&amp;$D$5))</f>
      </c>
      <c r="J19" s="19">
        <f>IF(OR($A19="-",$G19=""),0,ROUND($G19*$F19,0))</f>
      </c>
      <c r="K19" s="19">
        <f>IF(OR($A19="-",$H19=""),0,ROUND($H19*IFERROR(VLOOKUP($A19,'01_Employes'!$A$6:$Q$30,14,FALSE),0),0))</f>
      </c>
      <c r="L19" s="19">
        <f>IF($A19="-","",$J19+$K19+$I19)</f>
      </c>
      <c r="M19">
        <f>IF($A19="-","",COUNTIFS('02_Pointage'!$B$6:$B$505,$A19,'02_Pointage'!$A$6:$A$505,"&gt;="&amp;$B$5,'02_Pointage'!$A$6:$A$505,"&lt;="&amp;$D$5,'02_Pointage'!$P$6:$P$505,"&gt;0"))</f>
      </c>
      <c r="N19" s="10"/>
    </row>
    <row r="20" spans="1:14" x14ac:dyDescent="0.25">
      <c r="A20" s="9">
        <f>IF('01_Employes'!A14="","-",'01_Employes'!A14)</f>
      </c>
      <c r="B20" s="9">
        <f>IF($A20="-","",'01_Employes'!D14)</f>
      </c>
      <c r="C20" s="9">
        <f>IF($A20="-","",'01_Employes'!E14)</f>
      </c>
      <c r="D20" s="9">
        <f>IF($A20="-","",'01_Employes'!K14)</f>
      </c>
      <c r="E20" s="19">
        <f>IF($A20="-","",'01_Employes'!L14)</f>
      </c>
      <c r="F20" s="19">
        <f>IF($A20="-","",'01_Employes'!M14)</f>
      </c>
      <c r="G20" s="12">
        <f>IF($A20="-","",SUMIFS('02_Pointage'!$Q$6:$Q$505,'02_Pointage'!$B$6:$B$505,$A20,'02_Pointage'!$A$6:$A$505,"&gt;="&amp;$B$5,'02_Pointage'!$A$6:$A$505,"&lt;="&amp;$D$5))</f>
      </c>
      <c r="H20" s="12">
        <f>IF($A20="-","",SUMIFS('02_Pointage'!$R$6:$R$505,'02_Pointage'!$B$6:$B$505,$A20,'02_Pointage'!$A$6:$A$505,"&gt;="&amp;$B$5,'02_Pointage'!$A$6:$A$505,"&lt;="&amp;$D$5))</f>
      </c>
      <c r="I20" s="19">
        <f>IF($A20="-","",SUMIFS('02_Pointage'!$T$6:$T$505,'02_Pointage'!$B$6:$B$505,$A20,'02_Pointage'!$A$6:$A$505,"&gt;="&amp;$B$5,'02_Pointage'!$A$6:$A$505,"&lt;="&amp;$D$5))</f>
      </c>
      <c r="J20" s="19">
        <f>IF(OR($A20="-",$G20=""),0,ROUND($G20*$F20,0))</f>
      </c>
      <c r="K20" s="19">
        <f>IF(OR($A20="-",$H20=""),0,ROUND($H20*IFERROR(VLOOKUP($A20,'01_Employes'!$A$6:$Q$30,14,FALSE),0),0))</f>
      </c>
      <c r="L20" s="19">
        <f>IF($A20="-","",$J20+$K20+$I20)</f>
      </c>
      <c r="M20">
        <f>IF($A20="-","",COUNTIFS('02_Pointage'!$B$6:$B$505,$A20,'02_Pointage'!$A$6:$A$505,"&gt;="&amp;$B$5,'02_Pointage'!$A$6:$A$505,"&lt;="&amp;$D$5,'02_Pointage'!$P$6:$P$505,"&gt;0"))</f>
      </c>
      <c r="N20" s="10"/>
    </row>
    <row r="21" spans="1:14" x14ac:dyDescent="0.25">
      <c r="A21" s="9">
        <f>IF('01_Employes'!A15="","-",'01_Employes'!A15)</f>
      </c>
      <c r="B21" s="9">
        <f>IF($A21="-","",'01_Employes'!D15)</f>
      </c>
      <c r="C21" s="9">
        <f>IF($A21="-","",'01_Employes'!E15)</f>
      </c>
      <c r="D21" s="9">
        <f>IF($A21="-","",'01_Employes'!K15)</f>
      </c>
      <c r="E21" s="19">
        <f>IF($A21="-","",'01_Employes'!L15)</f>
      </c>
      <c r="F21" s="19">
        <f>IF($A21="-","",'01_Employes'!M15)</f>
      </c>
      <c r="G21" s="12">
        <f>IF($A21="-","",SUMIFS('02_Pointage'!$Q$6:$Q$505,'02_Pointage'!$B$6:$B$505,$A21,'02_Pointage'!$A$6:$A$505,"&gt;="&amp;$B$5,'02_Pointage'!$A$6:$A$505,"&lt;="&amp;$D$5))</f>
      </c>
      <c r="H21" s="12">
        <f>IF($A21="-","",SUMIFS('02_Pointage'!$R$6:$R$505,'02_Pointage'!$B$6:$B$505,$A21,'02_Pointage'!$A$6:$A$505,"&gt;="&amp;$B$5,'02_Pointage'!$A$6:$A$505,"&lt;="&amp;$D$5))</f>
      </c>
      <c r="I21" s="19">
        <f>IF($A21="-","",SUMIFS('02_Pointage'!$T$6:$T$505,'02_Pointage'!$B$6:$B$505,$A21,'02_Pointage'!$A$6:$A$505,"&gt;="&amp;$B$5,'02_Pointage'!$A$6:$A$505,"&lt;="&amp;$D$5))</f>
      </c>
      <c r="J21" s="19">
        <f>IF(OR($A21="-",$G21=""),0,ROUND($G21*$F21,0))</f>
      </c>
      <c r="K21" s="19">
        <f>IF(OR($A21="-",$H21=""),0,ROUND($H21*IFERROR(VLOOKUP($A21,'01_Employes'!$A$6:$Q$30,14,FALSE),0),0))</f>
      </c>
      <c r="L21" s="19">
        <f>IF($A21="-","",$J21+$K21+$I21)</f>
      </c>
      <c r="M21">
        <f>IF($A21="-","",COUNTIFS('02_Pointage'!$B$6:$B$505,$A21,'02_Pointage'!$A$6:$A$505,"&gt;="&amp;$B$5,'02_Pointage'!$A$6:$A$505,"&lt;="&amp;$D$5,'02_Pointage'!$P$6:$P$505,"&gt;0"))</f>
      </c>
      <c r="N21" s="10"/>
    </row>
    <row r="22" spans="1:14" x14ac:dyDescent="0.25">
      <c r="A22" s="9">
        <f>IF('01_Employes'!A16="","-",'01_Employes'!A16)</f>
      </c>
      <c r="B22" s="9">
        <f>IF($A22="-","",'01_Employes'!D16)</f>
      </c>
      <c r="C22" s="9">
        <f>IF($A22="-","",'01_Employes'!E16)</f>
      </c>
      <c r="D22" s="9">
        <f>IF($A22="-","",'01_Employes'!K16)</f>
      </c>
      <c r="E22" s="19">
        <f>IF($A22="-","",'01_Employes'!L16)</f>
      </c>
      <c r="F22" s="19">
        <f>IF($A22="-","",'01_Employes'!M16)</f>
      </c>
      <c r="G22" s="12">
        <f>IF($A22="-","",SUMIFS('02_Pointage'!$Q$6:$Q$505,'02_Pointage'!$B$6:$B$505,$A22,'02_Pointage'!$A$6:$A$505,"&gt;="&amp;$B$5,'02_Pointage'!$A$6:$A$505,"&lt;="&amp;$D$5))</f>
      </c>
      <c r="H22" s="12">
        <f>IF($A22="-","",SUMIFS('02_Pointage'!$R$6:$R$505,'02_Pointage'!$B$6:$B$505,$A22,'02_Pointage'!$A$6:$A$505,"&gt;="&amp;$B$5,'02_Pointage'!$A$6:$A$505,"&lt;="&amp;$D$5))</f>
      </c>
      <c r="I22" s="19">
        <f>IF($A22="-","",SUMIFS('02_Pointage'!$T$6:$T$505,'02_Pointage'!$B$6:$B$505,$A22,'02_Pointage'!$A$6:$A$505,"&gt;="&amp;$B$5,'02_Pointage'!$A$6:$A$505,"&lt;="&amp;$D$5))</f>
      </c>
      <c r="J22" s="19">
        <f>IF(OR($A22="-",$G22=""),0,ROUND($G22*$F22,0))</f>
      </c>
      <c r="K22" s="19">
        <f>IF(OR($A22="-",$H22=""),0,ROUND($H22*IFERROR(VLOOKUP($A22,'01_Employes'!$A$6:$Q$30,14,FALSE),0),0))</f>
      </c>
      <c r="L22" s="19">
        <f>IF($A22="-","",$J22+$K22+$I22)</f>
      </c>
      <c r="M22">
        <f>IF($A22="-","",COUNTIFS('02_Pointage'!$B$6:$B$505,$A22,'02_Pointage'!$A$6:$A$505,"&gt;="&amp;$B$5,'02_Pointage'!$A$6:$A$505,"&lt;="&amp;$D$5,'02_Pointage'!$P$6:$P$505,"&gt;0"))</f>
      </c>
      <c r="N22" s="10"/>
    </row>
    <row r="23" spans="1:14" x14ac:dyDescent="0.25">
      <c r="A23" s="9">
        <f>IF('01_Employes'!A17="","-",'01_Employes'!A17)</f>
      </c>
      <c r="B23" s="9">
        <f>IF($A23="-","",'01_Employes'!D17)</f>
      </c>
      <c r="C23" s="9">
        <f>IF($A23="-","",'01_Employes'!E17)</f>
      </c>
      <c r="D23" s="9">
        <f>IF($A23="-","",'01_Employes'!K17)</f>
      </c>
      <c r="E23" s="19">
        <f>IF($A23="-","",'01_Employes'!L17)</f>
      </c>
      <c r="F23" s="19">
        <f>IF($A23="-","",'01_Employes'!M17)</f>
      </c>
      <c r="G23" s="12">
        <f>IF($A23="-","",SUMIFS('02_Pointage'!$Q$6:$Q$505,'02_Pointage'!$B$6:$B$505,$A23,'02_Pointage'!$A$6:$A$505,"&gt;="&amp;$B$5,'02_Pointage'!$A$6:$A$505,"&lt;="&amp;$D$5))</f>
      </c>
      <c r="H23" s="12">
        <f>IF($A23="-","",SUMIFS('02_Pointage'!$R$6:$R$505,'02_Pointage'!$B$6:$B$505,$A23,'02_Pointage'!$A$6:$A$505,"&gt;="&amp;$B$5,'02_Pointage'!$A$6:$A$505,"&lt;="&amp;$D$5))</f>
      </c>
      <c r="I23" s="19">
        <f>IF($A23="-","",SUMIFS('02_Pointage'!$T$6:$T$505,'02_Pointage'!$B$6:$B$505,$A23,'02_Pointage'!$A$6:$A$505,"&gt;="&amp;$B$5,'02_Pointage'!$A$6:$A$505,"&lt;="&amp;$D$5))</f>
      </c>
      <c r="J23" s="19">
        <f>IF(OR($A23="-",$G23=""),0,ROUND($G23*$F23,0))</f>
      </c>
      <c r="K23" s="19">
        <f>IF(OR($A23="-",$H23=""),0,ROUND($H23*IFERROR(VLOOKUP($A23,'01_Employes'!$A$6:$Q$30,14,FALSE),0),0))</f>
      </c>
      <c r="L23" s="19">
        <f>IF($A23="-","",$J23+$K23+$I23)</f>
      </c>
      <c r="M23">
        <f>IF($A23="-","",COUNTIFS('02_Pointage'!$B$6:$B$505,$A23,'02_Pointage'!$A$6:$A$505,"&gt;="&amp;$B$5,'02_Pointage'!$A$6:$A$505,"&lt;="&amp;$D$5,'02_Pointage'!$P$6:$P$505,"&gt;0"))</f>
      </c>
      <c r="N23" s="10"/>
    </row>
    <row r="24" spans="1:14" x14ac:dyDescent="0.25">
      <c r="A24" s="9">
        <f>IF('01_Employes'!A18="","-",'01_Employes'!A18)</f>
      </c>
      <c r="B24" s="9">
        <f>IF($A24="-","",'01_Employes'!D18)</f>
      </c>
      <c r="C24" s="9">
        <f>IF($A24="-","",'01_Employes'!E18)</f>
      </c>
      <c r="D24" s="9">
        <f>IF($A24="-","",'01_Employes'!K18)</f>
      </c>
      <c r="E24" s="19">
        <f>IF($A24="-","",'01_Employes'!L18)</f>
      </c>
      <c r="F24" s="19">
        <f>IF($A24="-","",'01_Employes'!M18)</f>
      </c>
      <c r="G24" s="12">
        <f>IF($A24="-","",SUMIFS('02_Pointage'!$Q$6:$Q$505,'02_Pointage'!$B$6:$B$505,$A24,'02_Pointage'!$A$6:$A$505,"&gt;="&amp;$B$5,'02_Pointage'!$A$6:$A$505,"&lt;="&amp;$D$5))</f>
      </c>
      <c r="H24" s="12">
        <f>IF($A24="-","",SUMIFS('02_Pointage'!$R$6:$R$505,'02_Pointage'!$B$6:$B$505,$A24,'02_Pointage'!$A$6:$A$505,"&gt;="&amp;$B$5,'02_Pointage'!$A$6:$A$505,"&lt;="&amp;$D$5))</f>
      </c>
      <c r="I24" s="19">
        <f>IF($A24="-","",SUMIFS('02_Pointage'!$T$6:$T$505,'02_Pointage'!$B$6:$B$505,$A24,'02_Pointage'!$A$6:$A$505,"&gt;="&amp;$B$5,'02_Pointage'!$A$6:$A$505,"&lt;="&amp;$D$5))</f>
      </c>
      <c r="J24" s="19">
        <f>IF(OR($A24="-",$G24=""),0,ROUND($G24*$F24,0))</f>
      </c>
      <c r="K24" s="19">
        <f>IF(OR($A24="-",$H24=""),0,ROUND($H24*IFERROR(VLOOKUP($A24,'01_Employes'!$A$6:$Q$30,14,FALSE),0),0))</f>
      </c>
      <c r="L24" s="19">
        <f>IF($A24="-","",$J24+$K24+$I24)</f>
      </c>
      <c r="M24">
        <f>IF($A24="-","",COUNTIFS('02_Pointage'!$B$6:$B$505,$A24,'02_Pointage'!$A$6:$A$505,"&gt;="&amp;$B$5,'02_Pointage'!$A$6:$A$505,"&lt;="&amp;$D$5,'02_Pointage'!$P$6:$P$505,"&gt;0"))</f>
      </c>
      <c r="N24" s="10"/>
    </row>
    <row r="25" spans="1:14" x14ac:dyDescent="0.25">
      <c r="A25" s="9">
        <f>IF('01_Employes'!A19="","-",'01_Employes'!A19)</f>
      </c>
      <c r="B25" s="9">
        <f>IF($A25="-","",'01_Employes'!D19)</f>
      </c>
      <c r="C25" s="9">
        <f>IF($A25="-","",'01_Employes'!E19)</f>
      </c>
      <c r="D25" s="9">
        <f>IF($A25="-","",'01_Employes'!K19)</f>
      </c>
      <c r="E25" s="19">
        <f>IF($A25="-","",'01_Employes'!L19)</f>
      </c>
      <c r="F25" s="19">
        <f>IF($A25="-","",'01_Employes'!M19)</f>
      </c>
      <c r="G25" s="12">
        <f>IF($A25="-","",SUMIFS('02_Pointage'!$Q$6:$Q$505,'02_Pointage'!$B$6:$B$505,$A25,'02_Pointage'!$A$6:$A$505,"&gt;="&amp;$B$5,'02_Pointage'!$A$6:$A$505,"&lt;="&amp;$D$5))</f>
      </c>
      <c r="H25" s="12">
        <f>IF($A25="-","",SUMIFS('02_Pointage'!$R$6:$R$505,'02_Pointage'!$B$6:$B$505,$A25,'02_Pointage'!$A$6:$A$505,"&gt;="&amp;$B$5,'02_Pointage'!$A$6:$A$505,"&lt;="&amp;$D$5))</f>
      </c>
      <c r="I25" s="19">
        <f>IF($A25="-","",SUMIFS('02_Pointage'!$T$6:$T$505,'02_Pointage'!$B$6:$B$505,$A25,'02_Pointage'!$A$6:$A$505,"&gt;="&amp;$B$5,'02_Pointage'!$A$6:$A$505,"&lt;="&amp;$D$5))</f>
      </c>
      <c r="J25" s="19">
        <f>IF(OR($A25="-",$G25=""),0,ROUND($G25*$F25,0))</f>
      </c>
      <c r="K25" s="19">
        <f>IF(OR($A25="-",$H25=""),0,ROUND($H25*IFERROR(VLOOKUP($A25,'01_Employes'!$A$6:$Q$30,14,FALSE),0),0))</f>
      </c>
      <c r="L25" s="19">
        <f>IF($A25="-","",$J25+$K25+$I25)</f>
      </c>
      <c r="M25">
        <f>IF($A25="-","",COUNTIFS('02_Pointage'!$B$6:$B$505,$A25,'02_Pointage'!$A$6:$A$505,"&gt;="&amp;$B$5,'02_Pointage'!$A$6:$A$505,"&lt;="&amp;$D$5,'02_Pointage'!$P$6:$P$505,"&gt;0"))</f>
      </c>
      <c r="N25" s="10"/>
    </row>
    <row r="26" spans="1:14" x14ac:dyDescent="0.25">
      <c r="A26" s="9">
        <f>IF('01_Employes'!A20="","-",'01_Employes'!A20)</f>
      </c>
      <c r="B26" s="9">
        <f>IF($A26="-","",'01_Employes'!D20)</f>
      </c>
      <c r="C26" s="9">
        <f>IF($A26="-","",'01_Employes'!E20)</f>
      </c>
      <c r="D26" s="9">
        <f>IF($A26="-","",'01_Employes'!K20)</f>
      </c>
      <c r="E26" s="19">
        <f>IF($A26="-","",'01_Employes'!L20)</f>
      </c>
      <c r="F26" s="19">
        <f>IF($A26="-","",'01_Employes'!M20)</f>
      </c>
      <c r="G26" s="12">
        <f>IF($A26="-","",SUMIFS('02_Pointage'!$Q$6:$Q$505,'02_Pointage'!$B$6:$B$505,$A26,'02_Pointage'!$A$6:$A$505,"&gt;="&amp;$B$5,'02_Pointage'!$A$6:$A$505,"&lt;="&amp;$D$5))</f>
      </c>
      <c r="H26" s="12">
        <f>IF($A26="-","",SUMIFS('02_Pointage'!$R$6:$R$505,'02_Pointage'!$B$6:$B$505,$A26,'02_Pointage'!$A$6:$A$505,"&gt;="&amp;$B$5,'02_Pointage'!$A$6:$A$505,"&lt;="&amp;$D$5))</f>
      </c>
      <c r="I26" s="19">
        <f>IF($A26="-","",SUMIFS('02_Pointage'!$T$6:$T$505,'02_Pointage'!$B$6:$B$505,$A26,'02_Pointage'!$A$6:$A$505,"&gt;="&amp;$B$5,'02_Pointage'!$A$6:$A$505,"&lt;="&amp;$D$5))</f>
      </c>
      <c r="J26" s="19">
        <f>IF(OR($A26="-",$G26=""),0,ROUND($G26*$F26,0))</f>
      </c>
      <c r="K26" s="19">
        <f>IF(OR($A26="-",$H26=""),0,ROUND($H26*IFERROR(VLOOKUP($A26,'01_Employes'!$A$6:$Q$30,14,FALSE),0),0))</f>
      </c>
      <c r="L26" s="19">
        <f>IF($A26="-","",$J26+$K26+$I26)</f>
      </c>
      <c r="M26">
        <f>IF($A26="-","",COUNTIFS('02_Pointage'!$B$6:$B$505,$A26,'02_Pointage'!$A$6:$A$505,"&gt;="&amp;$B$5,'02_Pointage'!$A$6:$A$505,"&lt;="&amp;$D$5,'02_Pointage'!$P$6:$P$505,"&gt;0"))</f>
      </c>
      <c r="N26" s="10"/>
    </row>
    <row r="27" spans="1:14" x14ac:dyDescent="0.25">
      <c r="A27" s="9">
        <f>IF('01_Employes'!A21="","-",'01_Employes'!A21)</f>
      </c>
      <c r="B27" s="9">
        <f>IF($A27="-","",'01_Employes'!D21)</f>
      </c>
      <c r="C27" s="9">
        <f>IF($A27="-","",'01_Employes'!E21)</f>
      </c>
      <c r="D27" s="9">
        <f>IF($A27="-","",'01_Employes'!K21)</f>
      </c>
      <c r="E27" s="19">
        <f>IF($A27="-","",'01_Employes'!L21)</f>
      </c>
      <c r="F27" s="19">
        <f>IF($A27="-","",'01_Employes'!M21)</f>
      </c>
      <c r="G27" s="12">
        <f>IF($A27="-","",SUMIFS('02_Pointage'!$Q$6:$Q$505,'02_Pointage'!$B$6:$B$505,$A27,'02_Pointage'!$A$6:$A$505,"&gt;="&amp;$B$5,'02_Pointage'!$A$6:$A$505,"&lt;="&amp;$D$5))</f>
      </c>
      <c r="H27" s="12">
        <f>IF($A27="-","",SUMIFS('02_Pointage'!$R$6:$R$505,'02_Pointage'!$B$6:$B$505,$A27,'02_Pointage'!$A$6:$A$505,"&gt;="&amp;$B$5,'02_Pointage'!$A$6:$A$505,"&lt;="&amp;$D$5))</f>
      </c>
      <c r="I27" s="19">
        <f>IF($A27="-","",SUMIFS('02_Pointage'!$T$6:$T$505,'02_Pointage'!$B$6:$B$505,$A27,'02_Pointage'!$A$6:$A$505,"&gt;="&amp;$B$5,'02_Pointage'!$A$6:$A$505,"&lt;="&amp;$D$5))</f>
      </c>
      <c r="J27" s="19">
        <f>IF(OR($A27="-",$G27=""),0,ROUND($G27*$F27,0))</f>
      </c>
      <c r="K27" s="19">
        <f>IF(OR($A27="-",$H27=""),0,ROUND($H27*IFERROR(VLOOKUP($A27,'01_Employes'!$A$6:$Q$30,14,FALSE),0),0))</f>
      </c>
      <c r="L27" s="19">
        <f>IF($A27="-","",$J27+$K27+$I27)</f>
      </c>
      <c r="M27">
        <f>IF($A27="-","",COUNTIFS('02_Pointage'!$B$6:$B$505,$A27,'02_Pointage'!$A$6:$A$505,"&gt;="&amp;$B$5,'02_Pointage'!$A$6:$A$505,"&lt;="&amp;$D$5,'02_Pointage'!$P$6:$P$505,"&gt;0"))</f>
      </c>
      <c r="N27" s="10"/>
    </row>
    <row r="28" spans="1:14" x14ac:dyDescent="0.25">
      <c r="A28" s="9">
        <f>IF('01_Employes'!A22="","-",'01_Employes'!A22)</f>
      </c>
      <c r="B28" s="9">
        <f>IF($A28="-","",'01_Employes'!D22)</f>
      </c>
      <c r="C28" s="9">
        <f>IF($A28="-","",'01_Employes'!E22)</f>
      </c>
      <c r="D28" s="9">
        <f>IF($A28="-","",'01_Employes'!K22)</f>
      </c>
      <c r="E28" s="19">
        <f>IF($A28="-","",'01_Employes'!L22)</f>
      </c>
      <c r="F28" s="19">
        <f>IF($A28="-","",'01_Employes'!M22)</f>
      </c>
      <c r="G28" s="12">
        <f>IF($A28="-","",SUMIFS('02_Pointage'!$Q$6:$Q$505,'02_Pointage'!$B$6:$B$505,$A28,'02_Pointage'!$A$6:$A$505,"&gt;="&amp;$B$5,'02_Pointage'!$A$6:$A$505,"&lt;="&amp;$D$5))</f>
      </c>
      <c r="H28" s="12">
        <f>IF($A28="-","",SUMIFS('02_Pointage'!$R$6:$R$505,'02_Pointage'!$B$6:$B$505,$A28,'02_Pointage'!$A$6:$A$505,"&gt;="&amp;$B$5,'02_Pointage'!$A$6:$A$505,"&lt;="&amp;$D$5))</f>
      </c>
      <c r="I28" s="19">
        <f>IF($A28="-","",SUMIFS('02_Pointage'!$T$6:$T$505,'02_Pointage'!$B$6:$B$505,$A28,'02_Pointage'!$A$6:$A$505,"&gt;="&amp;$B$5,'02_Pointage'!$A$6:$A$505,"&lt;="&amp;$D$5))</f>
      </c>
      <c r="J28" s="19">
        <f>IF(OR($A28="-",$G28=""),0,ROUND($G28*$F28,0))</f>
      </c>
      <c r="K28" s="19">
        <f>IF(OR($A28="-",$H28=""),0,ROUND($H28*IFERROR(VLOOKUP($A28,'01_Employes'!$A$6:$Q$30,14,FALSE),0),0))</f>
      </c>
      <c r="L28" s="19">
        <f>IF($A28="-","",$J28+$K28+$I28)</f>
      </c>
      <c r="M28">
        <f>IF($A28="-","",COUNTIFS('02_Pointage'!$B$6:$B$505,$A28,'02_Pointage'!$A$6:$A$505,"&gt;="&amp;$B$5,'02_Pointage'!$A$6:$A$505,"&lt;="&amp;$D$5,'02_Pointage'!$P$6:$P$505,"&gt;0"))</f>
      </c>
      <c r="N28" s="10"/>
    </row>
    <row r="29" spans="1:14" x14ac:dyDescent="0.25">
      <c r="A29" s="9">
        <f>IF('01_Employes'!A23="","-",'01_Employes'!A23)</f>
      </c>
      <c r="B29" s="9">
        <f>IF($A29="-","",'01_Employes'!D23)</f>
      </c>
      <c r="C29" s="9">
        <f>IF($A29="-","",'01_Employes'!E23)</f>
      </c>
      <c r="D29" s="9">
        <f>IF($A29="-","",'01_Employes'!K23)</f>
      </c>
      <c r="E29" s="19">
        <f>IF($A29="-","",'01_Employes'!L23)</f>
      </c>
      <c r="F29" s="19">
        <f>IF($A29="-","",'01_Employes'!M23)</f>
      </c>
      <c r="G29" s="12">
        <f>IF($A29="-","",SUMIFS('02_Pointage'!$Q$6:$Q$505,'02_Pointage'!$B$6:$B$505,$A29,'02_Pointage'!$A$6:$A$505,"&gt;="&amp;$B$5,'02_Pointage'!$A$6:$A$505,"&lt;="&amp;$D$5))</f>
      </c>
      <c r="H29" s="12">
        <f>IF($A29="-","",SUMIFS('02_Pointage'!$R$6:$R$505,'02_Pointage'!$B$6:$B$505,$A29,'02_Pointage'!$A$6:$A$505,"&gt;="&amp;$B$5,'02_Pointage'!$A$6:$A$505,"&lt;="&amp;$D$5))</f>
      </c>
      <c r="I29" s="19">
        <f>IF($A29="-","",SUMIFS('02_Pointage'!$T$6:$T$505,'02_Pointage'!$B$6:$B$505,$A29,'02_Pointage'!$A$6:$A$505,"&gt;="&amp;$B$5,'02_Pointage'!$A$6:$A$505,"&lt;="&amp;$D$5))</f>
      </c>
      <c r="J29" s="19">
        <f>IF(OR($A29="-",$G29=""),0,ROUND($G29*$F29,0))</f>
      </c>
      <c r="K29" s="19">
        <f>IF(OR($A29="-",$H29=""),0,ROUND($H29*IFERROR(VLOOKUP($A29,'01_Employes'!$A$6:$Q$30,14,FALSE),0),0))</f>
      </c>
      <c r="L29" s="19">
        <f>IF($A29="-","",$J29+$K29+$I29)</f>
      </c>
      <c r="M29">
        <f>IF($A29="-","",COUNTIFS('02_Pointage'!$B$6:$B$505,$A29,'02_Pointage'!$A$6:$A$505,"&gt;="&amp;$B$5,'02_Pointage'!$A$6:$A$505,"&lt;="&amp;$D$5,'02_Pointage'!$P$6:$P$505,"&gt;0"))</f>
      </c>
      <c r="N29" s="10"/>
    </row>
    <row r="30" spans="1:14" x14ac:dyDescent="0.25">
      <c r="A30" s="9">
        <f>IF('01_Employes'!A24="","-",'01_Employes'!A24)</f>
      </c>
      <c r="B30" s="9">
        <f>IF($A30="-","",'01_Employes'!D24)</f>
      </c>
      <c r="C30" s="9">
        <f>IF($A30="-","",'01_Employes'!E24)</f>
      </c>
      <c r="D30" s="9">
        <f>IF($A30="-","",'01_Employes'!K24)</f>
      </c>
      <c r="E30" s="19">
        <f>IF($A30="-","",'01_Employes'!L24)</f>
      </c>
      <c r="F30" s="19">
        <f>IF($A30="-","",'01_Employes'!M24)</f>
      </c>
      <c r="G30" s="12">
        <f>IF($A30="-","",SUMIFS('02_Pointage'!$Q$6:$Q$505,'02_Pointage'!$B$6:$B$505,$A30,'02_Pointage'!$A$6:$A$505,"&gt;="&amp;$B$5,'02_Pointage'!$A$6:$A$505,"&lt;="&amp;$D$5))</f>
      </c>
      <c r="H30" s="12">
        <f>IF($A30="-","",SUMIFS('02_Pointage'!$R$6:$R$505,'02_Pointage'!$B$6:$B$505,$A30,'02_Pointage'!$A$6:$A$505,"&gt;="&amp;$B$5,'02_Pointage'!$A$6:$A$505,"&lt;="&amp;$D$5))</f>
      </c>
      <c r="I30" s="19">
        <f>IF($A30="-","",SUMIFS('02_Pointage'!$T$6:$T$505,'02_Pointage'!$B$6:$B$505,$A30,'02_Pointage'!$A$6:$A$505,"&gt;="&amp;$B$5,'02_Pointage'!$A$6:$A$505,"&lt;="&amp;$D$5))</f>
      </c>
      <c r="J30" s="19">
        <f>IF(OR($A30="-",$G30=""),0,ROUND($G30*$F30,0))</f>
      </c>
      <c r="K30" s="19">
        <f>IF(OR($A30="-",$H30=""),0,ROUND($H30*IFERROR(VLOOKUP($A30,'01_Employes'!$A$6:$Q$30,14,FALSE),0),0))</f>
      </c>
      <c r="L30" s="19">
        <f>IF($A30="-","",$J30+$K30+$I30)</f>
      </c>
      <c r="M30">
        <f>IF($A30="-","",COUNTIFS('02_Pointage'!$B$6:$B$505,$A30,'02_Pointage'!$A$6:$A$505,"&gt;="&amp;$B$5,'02_Pointage'!$A$6:$A$505,"&lt;="&amp;$D$5,'02_Pointage'!$P$6:$P$505,"&gt;0"))</f>
      </c>
      <c r="N30" s="10"/>
    </row>
    <row r="31" spans="1:14" x14ac:dyDescent="0.25">
      <c r="A31" s="9">
        <f>IF('01_Employes'!A25="","-",'01_Employes'!A25)</f>
      </c>
      <c r="B31" s="9">
        <f>IF($A31="-","",'01_Employes'!D25)</f>
      </c>
      <c r="C31" s="9">
        <f>IF($A31="-","",'01_Employes'!E25)</f>
      </c>
      <c r="D31" s="9">
        <f>IF($A31="-","",'01_Employes'!K25)</f>
      </c>
      <c r="E31" s="19">
        <f>IF($A31="-","",'01_Employes'!L25)</f>
      </c>
      <c r="F31" s="19">
        <f>IF($A31="-","",'01_Employes'!M25)</f>
      </c>
      <c r="G31" s="12">
        <f>IF($A31="-","",SUMIFS('02_Pointage'!$Q$6:$Q$505,'02_Pointage'!$B$6:$B$505,$A31,'02_Pointage'!$A$6:$A$505,"&gt;="&amp;$B$5,'02_Pointage'!$A$6:$A$505,"&lt;="&amp;$D$5))</f>
      </c>
      <c r="H31" s="12">
        <f>IF($A31="-","",SUMIFS('02_Pointage'!$R$6:$R$505,'02_Pointage'!$B$6:$B$505,$A31,'02_Pointage'!$A$6:$A$505,"&gt;="&amp;$B$5,'02_Pointage'!$A$6:$A$505,"&lt;="&amp;$D$5))</f>
      </c>
      <c r="I31" s="19">
        <f>IF($A31="-","",SUMIFS('02_Pointage'!$T$6:$T$505,'02_Pointage'!$B$6:$B$505,$A31,'02_Pointage'!$A$6:$A$505,"&gt;="&amp;$B$5,'02_Pointage'!$A$6:$A$505,"&lt;="&amp;$D$5))</f>
      </c>
      <c r="J31" s="19">
        <f>IF(OR($A31="-",$G31=""),0,ROUND($G31*$F31,0))</f>
      </c>
      <c r="K31" s="19">
        <f>IF(OR($A31="-",$H31=""),0,ROUND($H31*IFERROR(VLOOKUP($A31,'01_Employes'!$A$6:$Q$30,14,FALSE),0),0))</f>
      </c>
      <c r="L31" s="19">
        <f>IF($A31="-","",$J31+$K31+$I31)</f>
      </c>
      <c r="M31">
        <f>IF($A31="-","",COUNTIFS('02_Pointage'!$B$6:$B$505,$A31,'02_Pointage'!$A$6:$A$505,"&gt;="&amp;$B$5,'02_Pointage'!$A$6:$A$505,"&lt;="&amp;$D$5,'02_Pointage'!$P$6:$P$505,"&gt;0"))</f>
      </c>
      <c r="N31" s="10"/>
    </row>
    <row r="32" spans="1:14" x14ac:dyDescent="0.25">
      <c r="A32" s="9">
        <f>IF('01_Employes'!A26="","-",'01_Employes'!A26)</f>
      </c>
      <c r="B32" s="9">
        <f>IF($A32="-","",'01_Employes'!D26)</f>
      </c>
      <c r="C32" s="9">
        <f>IF($A32="-","",'01_Employes'!E26)</f>
      </c>
      <c r="D32" s="9">
        <f>IF($A32="-","",'01_Employes'!K26)</f>
      </c>
      <c r="E32" s="19">
        <f>IF($A32="-","",'01_Employes'!L26)</f>
      </c>
      <c r="F32" s="19">
        <f>IF($A32="-","",'01_Employes'!M26)</f>
      </c>
      <c r="G32" s="12">
        <f>IF($A32="-","",SUMIFS('02_Pointage'!$Q$6:$Q$505,'02_Pointage'!$B$6:$B$505,$A32,'02_Pointage'!$A$6:$A$505,"&gt;="&amp;$B$5,'02_Pointage'!$A$6:$A$505,"&lt;="&amp;$D$5))</f>
      </c>
      <c r="H32" s="12">
        <f>IF($A32="-","",SUMIFS('02_Pointage'!$R$6:$R$505,'02_Pointage'!$B$6:$B$505,$A32,'02_Pointage'!$A$6:$A$505,"&gt;="&amp;$B$5,'02_Pointage'!$A$6:$A$505,"&lt;="&amp;$D$5))</f>
      </c>
      <c r="I32" s="19">
        <f>IF($A32="-","",SUMIFS('02_Pointage'!$T$6:$T$505,'02_Pointage'!$B$6:$B$505,$A32,'02_Pointage'!$A$6:$A$505,"&gt;="&amp;$B$5,'02_Pointage'!$A$6:$A$505,"&lt;="&amp;$D$5))</f>
      </c>
      <c r="J32" s="19">
        <f>IF(OR($A32="-",$G32=""),0,ROUND($G32*$F32,0))</f>
      </c>
      <c r="K32" s="19">
        <f>IF(OR($A32="-",$H32=""),0,ROUND($H32*IFERROR(VLOOKUP($A32,'01_Employes'!$A$6:$Q$30,14,FALSE),0),0))</f>
      </c>
      <c r="L32" s="19">
        <f>IF($A32="-","",$J32+$K32+$I32)</f>
      </c>
      <c r="M32">
        <f>IF($A32="-","",COUNTIFS('02_Pointage'!$B$6:$B$505,$A32,'02_Pointage'!$A$6:$A$505,"&gt;="&amp;$B$5,'02_Pointage'!$A$6:$A$505,"&lt;="&amp;$D$5,'02_Pointage'!$P$6:$P$505,"&gt;0"))</f>
      </c>
      <c r="N32" s="10"/>
    </row>
    <row r="33" spans="1:14" x14ac:dyDescent="0.25">
      <c r="A33" s="9">
        <f>IF('01_Employes'!A27="","-",'01_Employes'!A27)</f>
      </c>
      <c r="B33" s="9">
        <f>IF($A33="-","",'01_Employes'!D27)</f>
      </c>
      <c r="C33" s="9">
        <f>IF($A33="-","",'01_Employes'!E27)</f>
      </c>
      <c r="D33" s="9">
        <f>IF($A33="-","",'01_Employes'!K27)</f>
      </c>
      <c r="E33" s="19">
        <f>IF($A33="-","",'01_Employes'!L27)</f>
      </c>
      <c r="F33" s="19">
        <f>IF($A33="-","",'01_Employes'!M27)</f>
      </c>
      <c r="G33" s="12">
        <f>IF($A33="-","",SUMIFS('02_Pointage'!$Q$6:$Q$505,'02_Pointage'!$B$6:$B$505,$A33,'02_Pointage'!$A$6:$A$505,"&gt;="&amp;$B$5,'02_Pointage'!$A$6:$A$505,"&lt;="&amp;$D$5))</f>
      </c>
      <c r="H33" s="12">
        <f>IF($A33="-","",SUMIFS('02_Pointage'!$R$6:$R$505,'02_Pointage'!$B$6:$B$505,$A33,'02_Pointage'!$A$6:$A$505,"&gt;="&amp;$B$5,'02_Pointage'!$A$6:$A$505,"&lt;="&amp;$D$5))</f>
      </c>
      <c r="I33" s="19">
        <f>IF($A33="-","",SUMIFS('02_Pointage'!$T$6:$T$505,'02_Pointage'!$B$6:$B$505,$A33,'02_Pointage'!$A$6:$A$505,"&gt;="&amp;$B$5,'02_Pointage'!$A$6:$A$505,"&lt;="&amp;$D$5))</f>
      </c>
      <c r="J33" s="19">
        <f>IF(OR($A33="-",$G33=""),0,ROUND($G33*$F33,0))</f>
      </c>
      <c r="K33" s="19">
        <f>IF(OR($A33="-",$H33=""),0,ROUND($H33*IFERROR(VLOOKUP($A33,'01_Employes'!$A$6:$Q$30,14,FALSE),0),0))</f>
      </c>
      <c r="L33" s="19">
        <f>IF($A33="-","",$J33+$K33+$I33)</f>
      </c>
      <c r="M33">
        <f>IF($A33="-","",COUNTIFS('02_Pointage'!$B$6:$B$505,$A33,'02_Pointage'!$A$6:$A$505,"&gt;="&amp;$B$5,'02_Pointage'!$A$6:$A$505,"&lt;="&amp;$D$5,'02_Pointage'!$P$6:$P$505,"&gt;0"))</f>
      </c>
      <c r="N33" s="10"/>
    </row>
    <row r="34" spans="1:14" x14ac:dyDescent="0.25">
      <c r="A34" s="9">
        <f>IF('01_Employes'!A28="","-",'01_Employes'!A28)</f>
      </c>
      <c r="B34" s="9">
        <f>IF($A34="-","",'01_Employes'!D28)</f>
      </c>
      <c r="C34" s="9">
        <f>IF($A34="-","",'01_Employes'!E28)</f>
      </c>
      <c r="D34" s="9">
        <f>IF($A34="-","",'01_Employes'!K28)</f>
      </c>
      <c r="E34" s="19">
        <f>IF($A34="-","",'01_Employes'!L28)</f>
      </c>
      <c r="F34" s="19">
        <f>IF($A34="-","",'01_Employes'!M28)</f>
      </c>
      <c r="G34" s="12">
        <f>IF($A34="-","",SUMIFS('02_Pointage'!$Q$6:$Q$505,'02_Pointage'!$B$6:$B$505,$A34,'02_Pointage'!$A$6:$A$505,"&gt;="&amp;$B$5,'02_Pointage'!$A$6:$A$505,"&lt;="&amp;$D$5))</f>
      </c>
      <c r="H34" s="12">
        <f>IF($A34="-","",SUMIFS('02_Pointage'!$R$6:$R$505,'02_Pointage'!$B$6:$B$505,$A34,'02_Pointage'!$A$6:$A$505,"&gt;="&amp;$B$5,'02_Pointage'!$A$6:$A$505,"&lt;="&amp;$D$5))</f>
      </c>
      <c r="I34" s="19">
        <f>IF($A34="-","",SUMIFS('02_Pointage'!$T$6:$T$505,'02_Pointage'!$B$6:$B$505,$A34,'02_Pointage'!$A$6:$A$505,"&gt;="&amp;$B$5,'02_Pointage'!$A$6:$A$505,"&lt;="&amp;$D$5))</f>
      </c>
      <c r="J34" s="19">
        <f>IF(OR($A34="-",$G34=""),0,ROUND($G34*$F34,0))</f>
      </c>
      <c r="K34" s="19">
        <f>IF(OR($A34="-",$H34=""),0,ROUND($H34*IFERROR(VLOOKUP($A34,'01_Employes'!$A$6:$Q$30,14,FALSE),0),0))</f>
      </c>
      <c r="L34" s="19">
        <f>IF($A34="-","",$J34+$K34+$I34)</f>
      </c>
      <c r="M34">
        <f>IF($A34="-","",COUNTIFS('02_Pointage'!$B$6:$B$505,$A34,'02_Pointage'!$A$6:$A$505,"&gt;="&amp;$B$5,'02_Pointage'!$A$6:$A$505,"&lt;="&amp;$D$5,'02_Pointage'!$P$6:$P$505,"&gt;0"))</f>
      </c>
      <c r="N34" s="10"/>
    </row>
    <row r="35" spans="1:14" x14ac:dyDescent="0.25">
      <c r="A35" s="9">
        <f>IF('01_Employes'!A29="","-",'01_Employes'!A29)</f>
      </c>
      <c r="B35" s="9">
        <f>IF($A35="-","",'01_Employes'!D29)</f>
      </c>
      <c r="C35" s="9">
        <f>IF($A35="-","",'01_Employes'!E29)</f>
      </c>
      <c r="D35" s="9">
        <f>IF($A35="-","",'01_Employes'!K29)</f>
      </c>
      <c r="E35" s="19">
        <f>IF($A35="-","",'01_Employes'!L29)</f>
      </c>
      <c r="F35" s="19">
        <f>IF($A35="-","",'01_Employes'!M29)</f>
      </c>
      <c r="G35" s="12">
        <f>IF($A35="-","",SUMIFS('02_Pointage'!$Q$6:$Q$505,'02_Pointage'!$B$6:$B$505,$A35,'02_Pointage'!$A$6:$A$505,"&gt;="&amp;$B$5,'02_Pointage'!$A$6:$A$505,"&lt;="&amp;$D$5))</f>
      </c>
      <c r="H35" s="12">
        <f>IF($A35="-","",SUMIFS('02_Pointage'!$R$6:$R$505,'02_Pointage'!$B$6:$B$505,$A35,'02_Pointage'!$A$6:$A$505,"&gt;="&amp;$B$5,'02_Pointage'!$A$6:$A$505,"&lt;="&amp;$D$5))</f>
      </c>
      <c r="I35" s="19">
        <f>IF($A35="-","",SUMIFS('02_Pointage'!$T$6:$T$505,'02_Pointage'!$B$6:$B$505,$A35,'02_Pointage'!$A$6:$A$505,"&gt;="&amp;$B$5,'02_Pointage'!$A$6:$A$505,"&lt;="&amp;$D$5))</f>
      </c>
      <c r="J35" s="19">
        <f>IF(OR($A35="-",$G35=""),0,ROUND($G35*$F35,0))</f>
      </c>
      <c r="K35" s="19">
        <f>IF(OR($A35="-",$H35=""),0,ROUND($H35*IFERROR(VLOOKUP($A35,'01_Employes'!$A$6:$Q$30,14,FALSE),0),0))</f>
      </c>
      <c r="L35" s="19">
        <f>IF($A35="-","",$J35+$K35+$I35)</f>
      </c>
      <c r="M35">
        <f>IF($A35="-","",COUNTIFS('02_Pointage'!$B$6:$B$505,$A35,'02_Pointage'!$A$6:$A$505,"&gt;="&amp;$B$5,'02_Pointage'!$A$6:$A$505,"&lt;="&amp;$D$5,'02_Pointage'!$P$6:$P$505,"&gt;0"))</f>
      </c>
      <c r="N35" s="10"/>
    </row>
    <row r="36" spans="1:14" x14ac:dyDescent="0.25">
      <c r="A36" s="9">
        <f>IF('01_Employes'!A30="","-",'01_Employes'!A30)</f>
      </c>
      <c r="B36" s="9">
        <f>IF($A36="-","",'01_Employes'!D30)</f>
      </c>
      <c r="C36" s="9">
        <f>IF($A36="-","",'01_Employes'!E30)</f>
      </c>
      <c r="D36" s="9">
        <f>IF($A36="-","",'01_Employes'!K30)</f>
      </c>
      <c r="E36" s="19">
        <f>IF($A36="-","",'01_Employes'!L30)</f>
      </c>
      <c r="F36" s="19">
        <f>IF($A36="-","",'01_Employes'!M30)</f>
      </c>
      <c r="G36" s="12">
        <f>IF($A36="-","",SUMIFS('02_Pointage'!$Q$6:$Q$505,'02_Pointage'!$B$6:$B$505,$A36,'02_Pointage'!$A$6:$A$505,"&gt;="&amp;$B$5,'02_Pointage'!$A$6:$A$505,"&lt;="&amp;$D$5))</f>
      </c>
      <c r="H36" s="12">
        <f>IF($A36="-","",SUMIFS('02_Pointage'!$R$6:$R$505,'02_Pointage'!$B$6:$B$505,$A36,'02_Pointage'!$A$6:$A$505,"&gt;="&amp;$B$5,'02_Pointage'!$A$6:$A$505,"&lt;="&amp;$D$5))</f>
      </c>
      <c r="I36" s="19">
        <f>IF($A36="-","",SUMIFS('02_Pointage'!$T$6:$T$505,'02_Pointage'!$B$6:$B$505,$A36,'02_Pointage'!$A$6:$A$505,"&gt;="&amp;$B$5,'02_Pointage'!$A$6:$A$505,"&lt;="&amp;$D$5))</f>
      </c>
      <c r="J36" s="19">
        <f>IF(OR($A36="-",$G36=""),0,ROUND($G36*$F36,0))</f>
      </c>
      <c r="K36" s="19">
        <f>IF(OR($A36="-",$H36=""),0,ROUND($H36*IFERROR(VLOOKUP($A36,'01_Employes'!$A$6:$Q$30,14,FALSE),0),0))</f>
      </c>
      <c r="L36" s="19">
        <f>IF($A36="-","",$J36+$K36+$I36)</f>
      </c>
      <c r="M36">
        <f>IF($A36="-","",COUNTIFS('02_Pointage'!$B$6:$B$505,$A36,'02_Pointage'!$A$6:$A$505,"&gt;="&amp;$B$5,'02_Pointage'!$A$6:$A$505,"&lt;="&amp;$D$5,'02_Pointage'!$P$6:$P$505,"&gt;0"))</f>
      </c>
      <c r="N36" s="10"/>
    </row>
    <row r="37" spans="1:12" s="27" customFormat="1" x14ac:dyDescent="0.25">
      <c r="A37" s="27" t="s">
        <v>261</v>
      </c>
      <c r="G37" s="12">
        <f>SUM(G12:G36)</f>
      </c>
      <c r="H37" s="12">
        <f>SUM(H12:H36)</f>
      </c>
      <c r="I37" s="19">
        <f>SUM(I12:I36)</f>
      </c>
      <c r="J37" s="19">
        <f>SUM(J12:J36)</f>
      </c>
      <c r="K37" s="19">
        <f>SUM(K12:K36)</f>
      </c>
      <c r="L37" s="19">
        <f>SUM(L12:L36)</f>
      </c>
    </row>
    <row r="39" spans="1:1" x14ac:dyDescent="0.25">
      <c r="A39" s="2" t="s">
        <v>262</v>
      </c>
    </row>
    <row r="40" spans="1:1" x14ac:dyDescent="0.25">
      <c r="A40" s="2" t="s">
        <v>263</v>
      </c>
    </row>
    <row r="41" spans="1:1" x14ac:dyDescent="0.25">
      <c r="A41" s="2" t="s">
        <v>264</v>
      </c>
    </row>
    <row r="42" spans="1:1" x14ac:dyDescent="0.25">
      <c r="A42" s="2" t="s">
        <v>265</v>
      </c>
    </row>
    <row r="43" spans="1:1" x14ac:dyDescent="0.25">
      <c r="A43" s="2" t="s">
        <v>266</v>
      </c>
    </row>
  </sheetData>
  <sheetProtection sheet="1" formatCells="0" formatColumns="0" formatRows="0" autoFilter="0" algorithmName="SHA-512" hashValue="RFSFENQZQvvaUxSfOP8EtO5Sj4eTjOuQJPTAs5N899Zjo2IKDLnJdvKO6Ph59aehE+5sa/cRwr8W/PgX+LU37Q==" saltValue="WFIdcbsJMKdf27ZkQm0fXA==" spinCount="100000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26" customWidth="1"/>
    <col min="4" max="4" width="18" customWidth="1"/>
    <col min="5" max="6" width="11" style="14" customWidth="1"/>
    <col min="8" max="8" width="26" customWidth="1"/>
    <col min="9" max="9" width="12" customWidth="1"/>
  </cols>
  <sheetData>
    <row r="1" ht="24" customHeight="1" spans="1:9" x14ac:dyDescent="0.25">
      <c r="A1" s="15" t="s">
        <v>267</v>
      </c>
      <c r="B1" s="15"/>
      <c r="C1" s="15"/>
      <c r="D1" s="15"/>
      <c r="E1" s="15"/>
      <c r="F1" s="15"/>
      <c r="G1" s="15"/>
      <c r="H1" s="15"/>
      <c r="I1" s="15"/>
    </row>
    <row r="2" spans="1:6" x14ac:dyDescent="0.25">
      <c r="A2" s="2" t="s">
        <v>268</v>
      </c>
      <c r="E2" s="14"/>
      <c r="F2" s="14"/>
    </row>
    <row r="4" ht="28" customHeight="1" spans="1:9" x14ac:dyDescent="0.25">
      <c r="A4" s="8" t="s">
        <v>269</v>
      </c>
      <c r="B4" s="8" t="s">
        <v>222</v>
      </c>
      <c r="C4" s="8" t="s">
        <v>148</v>
      </c>
      <c r="D4" s="8" t="s">
        <v>270</v>
      </c>
      <c r="E4" s="16" t="s">
        <v>246</v>
      </c>
      <c r="F4" s="16" t="s">
        <v>247</v>
      </c>
      <c r="G4" s="8" t="s">
        <v>271</v>
      </c>
      <c r="H4" s="8" t="s">
        <v>272</v>
      </c>
      <c r="I4" s="8" t="s">
        <v>151</v>
      </c>
    </row>
    <row r="5" spans="1:9" x14ac:dyDescent="0.25">
      <c r="A5">
        <v>1</v>
      </c>
      <c r="B5" s="10"/>
      <c r="C5" s="9">
        <f>IF(B5="","",IFERROR(VLOOKUP(B5,'01_Employes'!$A$6:$Q$30,4,FALSE),"⚠ inconnu"))</f>
      </c>
      <c r="D5" s="18"/>
      <c r="E5" s="18"/>
      <c r="F5" s="18"/>
      <c r="G5" s="25">
        <f>IF(OR(E5="",F5=""),"",F5-E5+1)</f>
      </c>
      <c r="H5" s="10"/>
      <c r="I5" s="10"/>
    </row>
    <row r="6" spans="1:9" x14ac:dyDescent="0.25">
      <c r="A6">
        <v>2</v>
      </c>
      <c r="B6" s="10"/>
      <c r="C6" s="9">
        <f>IF(B6="","",IFERROR(VLOOKUP(B6,'01_Employes'!$A$6:$Q$30,4,FALSE),"⚠ inconnu"))</f>
      </c>
      <c r="D6" s="18"/>
      <c r="E6" s="18"/>
      <c r="F6" s="18"/>
      <c r="G6" s="25">
        <f>IF(OR(E6="",F6=""),"",F6-E6+1)</f>
      </c>
      <c r="H6" s="10"/>
      <c r="I6" s="10"/>
    </row>
    <row r="7" spans="1:9" x14ac:dyDescent="0.25">
      <c r="A7">
        <v>3</v>
      </c>
      <c r="B7" s="10"/>
      <c r="C7" s="9">
        <f>IF(B7="","",IFERROR(VLOOKUP(B7,'01_Employes'!$A$6:$Q$30,4,FALSE),"⚠ inconnu"))</f>
      </c>
      <c r="D7" s="18"/>
      <c r="E7" s="18"/>
      <c r="F7" s="18"/>
      <c r="G7" s="25">
        <f>IF(OR(E7="",F7=""),"",F7-E7+1)</f>
      </c>
      <c r="H7" s="10"/>
      <c r="I7" s="10"/>
    </row>
    <row r="8" spans="1:9" x14ac:dyDescent="0.25">
      <c r="A8">
        <v>4</v>
      </c>
      <c r="B8" s="10"/>
      <c r="C8" s="9">
        <f>IF(B8="","",IFERROR(VLOOKUP(B8,'01_Employes'!$A$6:$Q$30,4,FALSE),"⚠ inconnu"))</f>
      </c>
      <c r="D8" s="18"/>
      <c r="E8" s="18"/>
      <c r="F8" s="18"/>
      <c r="G8" s="25">
        <f>IF(OR(E8="",F8=""),"",F8-E8+1)</f>
      </c>
      <c r="H8" s="10"/>
      <c r="I8" s="10"/>
    </row>
    <row r="9" spans="1:9" x14ac:dyDescent="0.25">
      <c r="A9">
        <v>5</v>
      </c>
      <c r="B9" s="10"/>
      <c r="C9" s="9">
        <f>IF(B9="","",IFERROR(VLOOKUP(B9,'01_Employes'!$A$6:$Q$30,4,FALSE),"⚠ inconnu"))</f>
      </c>
      <c r="D9" s="18"/>
      <c r="E9" s="18"/>
      <c r="F9" s="18"/>
      <c r="G9" s="25">
        <f>IF(OR(E9="",F9=""),"",F9-E9+1)</f>
      </c>
      <c r="H9" s="10"/>
      <c r="I9" s="10"/>
    </row>
    <row r="10" spans="1:9" x14ac:dyDescent="0.25">
      <c r="A10">
        <v>6</v>
      </c>
      <c r="B10" s="10"/>
      <c r="C10" s="9">
        <f>IF(B10="","",IFERROR(VLOOKUP(B10,'01_Employes'!$A$6:$Q$30,4,FALSE),"⚠ inconnu"))</f>
      </c>
      <c r="D10" s="18"/>
      <c r="E10" s="18"/>
      <c r="F10" s="18"/>
      <c r="G10" s="25">
        <f>IF(OR(E10="",F10=""),"",F10-E10+1)</f>
      </c>
      <c r="H10" s="10"/>
      <c r="I10" s="10"/>
    </row>
    <row r="11" spans="1:9" x14ac:dyDescent="0.25">
      <c r="A11">
        <v>7</v>
      </c>
      <c r="B11" s="10"/>
      <c r="C11" s="9">
        <f>IF(B11="","",IFERROR(VLOOKUP(B11,'01_Employes'!$A$6:$Q$30,4,FALSE),"⚠ inconnu"))</f>
      </c>
      <c r="D11" s="18"/>
      <c r="E11" s="18"/>
      <c r="F11" s="18"/>
      <c r="G11" s="25">
        <f>IF(OR(E11="",F11=""),"",F11-E11+1)</f>
      </c>
      <c r="H11" s="10"/>
      <c r="I11" s="10"/>
    </row>
    <row r="12" spans="1:9" x14ac:dyDescent="0.25">
      <c r="A12">
        <v>8</v>
      </c>
      <c r="B12" s="10"/>
      <c r="C12" s="9">
        <f>IF(B12="","",IFERROR(VLOOKUP(B12,'01_Employes'!$A$6:$Q$30,4,FALSE),"⚠ inconnu"))</f>
      </c>
      <c r="D12" s="18"/>
      <c r="E12" s="18"/>
      <c r="F12" s="18"/>
      <c r="G12" s="25">
        <f>IF(OR(E12="",F12=""),"",F12-E12+1)</f>
      </c>
      <c r="H12" s="10"/>
      <c r="I12" s="10"/>
    </row>
    <row r="13" spans="1:9" x14ac:dyDescent="0.25">
      <c r="A13">
        <v>9</v>
      </c>
      <c r="B13" s="10"/>
      <c r="C13" s="9">
        <f>IF(B13="","",IFERROR(VLOOKUP(B13,'01_Employes'!$A$6:$Q$30,4,FALSE),"⚠ inconnu"))</f>
      </c>
      <c r="D13" s="18"/>
      <c r="E13" s="18"/>
      <c r="F13" s="18"/>
      <c r="G13" s="25">
        <f>IF(OR(E13="",F13=""),"",F13-E13+1)</f>
      </c>
      <c r="H13" s="10"/>
      <c r="I13" s="10"/>
    </row>
    <row r="14" spans="1:9" x14ac:dyDescent="0.25">
      <c r="A14">
        <v>10</v>
      </c>
      <c r="B14" s="10"/>
      <c r="C14" s="9">
        <f>IF(B14="","",IFERROR(VLOOKUP(B14,'01_Employes'!$A$6:$Q$30,4,FALSE),"⚠ inconnu"))</f>
      </c>
      <c r="D14" s="18"/>
      <c r="E14" s="18"/>
      <c r="F14" s="18"/>
      <c r="G14" s="25">
        <f>IF(OR(E14="",F14=""),"",F14-E14+1)</f>
      </c>
      <c r="H14" s="10"/>
      <c r="I14" s="10"/>
    </row>
    <row r="15" spans="1:9" x14ac:dyDescent="0.25">
      <c r="A15">
        <v>11</v>
      </c>
      <c r="B15" s="10"/>
      <c r="C15" s="9">
        <f>IF(B15="","",IFERROR(VLOOKUP(B15,'01_Employes'!$A$6:$Q$30,4,FALSE),"⚠ inconnu"))</f>
      </c>
      <c r="D15" s="18"/>
      <c r="E15" s="18"/>
      <c r="F15" s="18"/>
      <c r="G15" s="25">
        <f>IF(OR(E15="",F15=""),"",F15-E15+1)</f>
      </c>
      <c r="H15" s="10"/>
      <c r="I15" s="10"/>
    </row>
    <row r="16" spans="1:9" x14ac:dyDescent="0.25">
      <c r="A16">
        <v>12</v>
      </c>
      <c r="B16" s="10"/>
      <c r="C16" s="9">
        <f>IF(B16="","",IFERROR(VLOOKUP(B16,'01_Employes'!$A$6:$Q$30,4,FALSE),"⚠ inconnu"))</f>
      </c>
      <c r="D16" s="18"/>
      <c r="E16" s="18"/>
      <c r="F16" s="18"/>
      <c r="G16" s="25">
        <f>IF(OR(E16="",F16=""),"",F16-E16+1)</f>
      </c>
      <c r="H16" s="10"/>
      <c r="I16" s="10"/>
    </row>
    <row r="17" spans="1:9" x14ac:dyDescent="0.25">
      <c r="A17">
        <v>13</v>
      </c>
      <c r="B17" s="10"/>
      <c r="C17" s="9">
        <f>IF(B17="","",IFERROR(VLOOKUP(B17,'01_Employes'!$A$6:$Q$30,4,FALSE),"⚠ inconnu"))</f>
      </c>
      <c r="D17" s="18"/>
      <c r="E17" s="18"/>
      <c r="F17" s="18"/>
      <c r="G17" s="25">
        <f>IF(OR(E17="",F17=""),"",F17-E17+1)</f>
      </c>
      <c r="H17" s="10"/>
      <c r="I17" s="10"/>
    </row>
    <row r="18" spans="1:9" x14ac:dyDescent="0.25">
      <c r="A18">
        <v>14</v>
      </c>
      <c r="B18" s="10"/>
      <c r="C18" s="9">
        <f>IF(B18="","",IFERROR(VLOOKUP(B18,'01_Employes'!$A$6:$Q$30,4,FALSE),"⚠ inconnu"))</f>
      </c>
      <c r="D18" s="18"/>
      <c r="E18" s="18"/>
      <c r="F18" s="18"/>
      <c r="G18" s="25">
        <f>IF(OR(E18="",F18=""),"",F18-E18+1)</f>
      </c>
      <c r="H18" s="10"/>
      <c r="I18" s="10"/>
    </row>
    <row r="19" spans="1:9" x14ac:dyDescent="0.25">
      <c r="A19">
        <v>15</v>
      </c>
      <c r="B19" s="10"/>
      <c r="C19" s="9">
        <f>IF(B19="","",IFERROR(VLOOKUP(B19,'01_Employes'!$A$6:$Q$30,4,FALSE),"⚠ inconnu"))</f>
      </c>
      <c r="D19" s="18"/>
      <c r="E19" s="18"/>
      <c r="F19" s="18"/>
      <c r="G19" s="25">
        <f>IF(OR(E19="",F19=""),"",F19-E19+1)</f>
      </c>
      <c r="H19" s="10"/>
      <c r="I19" s="10"/>
    </row>
    <row r="20" spans="1:9" x14ac:dyDescent="0.25">
      <c r="A20">
        <v>16</v>
      </c>
      <c r="B20" s="10"/>
      <c r="C20" s="9">
        <f>IF(B20="","",IFERROR(VLOOKUP(B20,'01_Employes'!$A$6:$Q$30,4,FALSE),"⚠ inconnu"))</f>
      </c>
      <c r="D20" s="18"/>
      <c r="E20" s="18"/>
      <c r="F20" s="18"/>
      <c r="G20" s="25">
        <f>IF(OR(E20="",F20=""),"",F20-E20+1)</f>
      </c>
      <c r="H20" s="10"/>
      <c r="I20" s="10"/>
    </row>
    <row r="21" spans="1:9" x14ac:dyDescent="0.25">
      <c r="A21">
        <v>17</v>
      </c>
      <c r="B21" s="10"/>
      <c r="C21" s="9">
        <f>IF(B21="","",IFERROR(VLOOKUP(B21,'01_Employes'!$A$6:$Q$30,4,FALSE),"⚠ inconnu"))</f>
      </c>
      <c r="D21" s="18"/>
      <c r="E21" s="18"/>
      <c r="F21" s="18"/>
      <c r="G21" s="25">
        <f>IF(OR(E21="",F21=""),"",F21-E21+1)</f>
      </c>
      <c r="H21" s="10"/>
      <c r="I21" s="10"/>
    </row>
    <row r="22" spans="1:9" x14ac:dyDescent="0.25">
      <c r="A22">
        <v>18</v>
      </c>
      <c r="B22" s="10"/>
      <c r="C22" s="9">
        <f>IF(B22="","",IFERROR(VLOOKUP(B22,'01_Employes'!$A$6:$Q$30,4,FALSE),"⚠ inconnu"))</f>
      </c>
      <c r="D22" s="18"/>
      <c r="E22" s="18"/>
      <c r="F22" s="18"/>
      <c r="G22" s="25">
        <f>IF(OR(E22="",F22=""),"",F22-E22+1)</f>
      </c>
      <c r="H22" s="10"/>
      <c r="I22" s="10"/>
    </row>
    <row r="23" spans="1:9" x14ac:dyDescent="0.25">
      <c r="A23">
        <v>19</v>
      </c>
      <c r="B23" s="10"/>
      <c r="C23" s="9">
        <f>IF(B23="","",IFERROR(VLOOKUP(B23,'01_Employes'!$A$6:$Q$30,4,FALSE),"⚠ inconnu"))</f>
      </c>
      <c r="D23" s="18"/>
      <c r="E23" s="18"/>
      <c r="F23" s="18"/>
      <c r="G23" s="25">
        <f>IF(OR(E23="",F23=""),"",F23-E23+1)</f>
      </c>
      <c r="H23" s="10"/>
      <c r="I23" s="10"/>
    </row>
    <row r="24" spans="1:9" x14ac:dyDescent="0.25">
      <c r="A24">
        <v>20</v>
      </c>
      <c r="B24" s="10"/>
      <c r="C24" s="9">
        <f>IF(B24="","",IFERROR(VLOOKUP(B24,'01_Employes'!$A$6:$Q$30,4,FALSE),"⚠ inconnu"))</f>
      </c>
      <c r="D24" s="18"/>
      <c r="E24" s="18"/>
      <c r="F24" s="18"/>
      <c r="G24" s="25">
        <f>IF(OR(E24="",F24=""),"",F24-E24+1)</f>
      </c>
      <c r="H24" s="10"/>
      <c r="I24" s="10"/>
    </row>
    <row r="25" spans="1:9" x14ac:dyDescent="0.25">
      <c r="A25">
        <v>21</v>
      </c>
      <c r="B25" s="10"/>
      <c r="C25" s="9">
        <f>IF(B25="","",IFERROR(VLOOKUP(B25,'01_Employes'!$A$6:$Q$30,4,FALSE),"⚠ inconnu"))</f>
      </c>
      <c r="D25" s="18"/>
      <c r="E25" s="18"/>
      <c r="F25" s="18"/>
      <c r="G25" s="25">
        <f>IF(OR(E25="",F25=""),"",F25-E25+1)</f>
      </c>
      <c r="H25" s="10"/>
      <c r="I25" s="10"/>
    </row>
    <row r="26" spans="1:9" x14ac:dyDescent="0.25">
      <c r="A26">
        <v>22</v>
      </c>
      <c r="B26" s="10"/>
      <c r="C26" s="9">
        <f>IF(B26="","",IFERROR(VLOOKUP(B26,'01_Employes'!$A$6:$Q$30,4,FALSE),"⚠ inconnu"))</f>
      </c>
      <c r="D26" s="18"/>
      <c r="E26" s="18"/>
      <c r="F26" s="18"/>
      <c r="G26" s="25">
        <f>IF(OR(E26="",F26=""),"",F26-E26+1)</f>
      </c>
      <c r="H26" s="10"/>
      <c r="I26" s="10"/>
    </row>
    <row r="27" spans="1:9" x14ac:dyDescent="0.25">
      <c r="A27">
        <v>23</v>
      </c>
      <c r="B27" s="10"/>
      <c r="C27" s="9">
        <f>IF(B27="","",IFERROR(VLOOKUP(B27,'01_Employes'!$A$6:$Q$30,4,FALSE),"⚠ inconnu"))</f>
      </c>
      <c r="D27" s="18"/>
      <c r="E27" s="18"/>
      <c r="F27" s="18"/>
      <c r="G27" s="25">
        <f>IF(OR(E27="",F27=""),"",F27-E27+1)</f>
      </c>
      <c r="H27" s="10"/>
      <c r="I27" s="10"/>
    </row>
    <row r="28" spans="1:9" x14ac:dyDescent="0.25">
      <c r="A28">
        <v>24</v>
      </c>
      <c r="B28" s="10"/>
      <c r="C28" s="9">
        <f>IF(B28="","",IFERROR(VLOOKUP(B28,'01_Employes'!$A$6:$Q$30,4,FALSE),"⚠ inconnu"))</f>
      </c>
      <c r="D28" s="18"/>
      <c r="E28" s="18"/>
      <c r="F28" s="18"/>
      <c r="G28" s="25">
        <f>IF(OR(E28="",F28=""),"",F28-E28+1)</f>
      </c>
      <c r="H28" s="10"/>
      <c r="I28" s="10"/>
    </row>
    <row r="29" spans="1:9" x14ac:dyDescent="0.25">
      <c r="A29">
        <v>25</v>
      </c>
      <c r="B29" s="10"/>
      <c r="C29" s="9">
        <f>IF(B29="","",IFERROR(VLOOKUP(B29,'01_Employes'!$A$6:$Q$30,4,FALSE),"⚠ inconnu"))</f>
      </c>
      <c r="D29" s="18"/>
      <c r="E29" s="18"/>
      <c r="F29" s="18"/>
      <c r="G29" s="25">
        <f>IF(OR(E29="",F29=""),"",F29-E29+1)</f>
      </c>
      <c r="H29" s="10"/>
      <c r="I29" s="10"/>
    </row>
    <row r="30" spans="1:9" x14ac:dyDescent="0.25">
      <c r="A30">
        <v>26</v>
      </c>
      <c r="B30" s="10"/>
      <c r="C30" s="9">
        <f>IF(B30="","",IFERROR(VLOOKUP(B30,'01_Employes'!$A$6:$Q$30,4,FALSE),"⚠ inconnu"))</f>
      </c>
      <c r="D30" s="18"/>
      <c r="E30" s="18"/>
      <c r="F30" s="18"/>
      <c r="G30" s="25">
        <f>IF(OR(E30="",F30=""),"",F30-E30+1)</f>
      </c>
      <c r="H30" s="10"/>
      <c r="I30" s="10"/>
    </row>
    <row r="31" spans="1:9" x14ac:dyDescent="0.25">
      <c r="A31">
        <v>27</v>
      </c>
      <c r="B31" s="10"/>
      <c r="C31" s="9">
        <f>IF(B31="","",IFERROR(VLOOKUP(B31,'01_Employes'!$A$6:$Q$30,4,FALSE),"⚠ inconnu"))</f>
      </c>
      <c r="D31" s="18"/>
      <c r="E31" s="18"/>
      <c r="F31" s="18"/>
      <c r="G31" s="25">
        <f>IF(OR(E31="",F31=""),"",F31-E31+1)</f>
      </c>
      <c r="H31" s="10"/>
      <c r="I31" s="10"/>
    </row>
    <row r="32" spans="1:9" x14ac:dyDescent="0.25">
      <c r="A32">
        <v>28</v>
      </c>
      <c r="B32" s="10"/>
      <c r="C32" s="9">
        <f>IF(B32="","",IFERROR(VLOOKUP(B32,'01_Employes'!$A$6:$Q$30,4,FALSE),"⚠ inconnu"))</f>
      </c>
      <c r="D32" s="18"/>
      <c r="E32" s="18"/>
      <c r="F32" s="18"/>
      <c r="G32" s="25">
        <f>IF(OR(E32="",F32=""),"",F32-E32+1)</f>
      </c>
      <c r="H32" s="10"/>
      <c r="I32" s="10"/>
    </row>
    <row r="33" spans="1:9" x14ac:dyDescent="0.25">
      <c r="A33">
        <v>29</v>
      </c>
      <c r="B33" s="10"/>
      <c r="C33" s="9">
        <f>IF(B33="","",IFERROR(VLOOKUP(B33,'01_Employes'!$A$6:$Q$30,4,FALSE),"⚠ inconnu"))</f>
      </c>
      <c r="D33" s="18"/>
      <c r="E33" s="18"/>
      <c r="F33" s="18"/>
      <c r="G33" s="25">
        <f>IF(OR(E33="",F33=""),"",F33-E33+1)</f>
      </c>
      <c r="H33" s="10"/>
      <c r="I33" s="10"/>
    </row>
    <row r="34" spans="1:9" x14ac:dyDescent="0.25">
      <c r="A34">
        <v>30</v>
      </c>
      <c r="B34" s="10"/>
      <c r="C34" s="9">
        <f>IF(B34="","",IFERROR(VLOOKUP(B34,'01_Employes'!$A$6:$Q$30,4,FALSE),"⚠ inconnu"))</f>
      </c>
      <c r="D34" s="18"/>
      <c r="E34" s="18"/>
      <c r="F34" s="18"/>
      <c r="G34" s="25">
        <f>IF(OR(E34="",F34=""),"",F34-E34+1)</f>
      </c>
      <c r="H34" s="10"/>
      <c r="I34" s="10"/>
    </row>
    <row r="35" spans="1:9" x14ac:dyDescent="0.25">
      <c r="A35">
        <v>31</v>
      </c>
      <c r="B35" s="10"/>
      <c r="C35" s="9">
        <f>IF(B35="","",IFERROR(VLOOKUP(B35,'01_Employes'!$A$6:$Q$30,4,FALSE),"⚠ inconnu"))</f>
      </c>
      <c r="D35" s="18"/>
      <c r="E35" s="18"/>
      <c r="F35" s="18"/>
      <c r="G35" s="25">
        <f>IF(OR(E35="",F35=""),"",F35-E35+1)</f>
      </c>
      <c r="H35" s="10"/>
      <c r="I35" s="10"/>
    </row>
    <row r="36" spans="1:9" x14ac:dyDescent="0.25">
      <c r="A36">
        <v>32</v>
      </c>
      <c r="B36" s="10"/>
      <c r="C36" s="9">
        <f>IF(B36="","",IFERROR(VLOOKUP(B36,'01_Employes'!$A$6:$Q$30,4,FALSE),"⚠ inconnu"))</f>
      </c>
      <c r="D36" s="18"/>
      <c r="E36" s="18"/>
      <c r="F36" s="18"/>
      <c r="G36" s="25">
        <f>IF(OR(E36="",F36=""),"",F36-E36+1)</f>
      </c>
      <c r="H36" s="10"/>
      <c r="I36" s="10"/>
    </row>
    <row r="37" spans="1:9" x14ac:dyDescent="0.25">
      <c r="A37">
        <v>33</v>
      </c>
      <c r="B37" s="10"/>
      <c r="C37" s="9">
        <f>IF(B37="","",IFERROR(VLOOKUP(B37,'01_Employes'!$A$6:$Q$30,4,FALSE),"⚠ inconnu"))</f>
      </c>
      <c r="D37" s="18"/>
      <c r="E37" s="18"/>
      <c r="F37" s="18"/>
      <c r="G37" s="25">
        <f>IF(OR(E37="",F37=""),"",F37-E37+1)</f>
      </c>
      <c r="H37" s="10"/>
      <c r="I37" s="10"/>
    </row>
    <row r="38" spans="1:9" x14ac:dyDescent="0.25">
      <c r="A38">
        <v>34</v>
      </c>
      <c r="B38" s="10"/>
      <c r="C38" s="9">
        <f>IF(B38="","",IFERROR(VLOOKUP(B38,'01_Employes'!$A$6:$Q$30,4,FALSE),"⚠ inconnu"))</f>
      </c>
      <c r="D38" s="18"/>
      <c r="E38" s="18"/>
      <c r="F38" s="18"/>
      <c r="G38" s="25">
        <f>IF(OR(E38="",F38=""),"",F38-E38+1)</f>
      </c>
      <c r="H38" s="10"/>
      <c r="I38" s="10"/>
    </row>
    <row r="39" spans="1:9" x14ac:dyDescent="0.25">
      <c r="A39">
        <v>35</v>
      </c>
      <c r="B39" s="10"/>
      <c r="C39" s="9">
        <f>IF(B39="","",IFERROR(VLOOKUP(B39,'01_Employes'!$A$6:$Q$30,4,FALSE),"⚠ inconnu"))</f>
      </c>
      <c r="D39" s="18"/>
      <c r="E39" s="18"/>
      <c r="F39" s="18"/>
      <c r="G39" s="25">
        <f>IF(OR(E39="",F39=""),"",F39-E39+1)</f>
      </c>
      <c r="H39" s="10"/>
      <c r="I39" s="10"/>
    </row>
    <row r="40" spans="1:9" x14ac:dyDescent="0.25">
      <c r="A40">
        <v>36</v>
      </c>
      <c r="B40" s="10"/>
      <c r="C40" s="9">
        <f>IF(B40="","",IFERROR(VLOOKUP(B40,'01_Employes'!$A$6:$Q$30,4,FALSE),"⚠ inconnu"))</f>
      </c>
      <c r="D40" s="18"/>
      <c r="E40" s="18"/>
      <c r="F40" s="18"/>
      <c r="G40" s="25">
        <f>IF(OR(E40="",F40=""),"",F40-E40+1)</f>
      </c>
      <c r="H40" s="10"/>
      <c r="I40" s="10"/>
    </row>
    <row r="41" spans="1:9" x14ac:dyDescent="0.25">
      <c r="A41">
        <v>37</v>
      </c>
      <c r="B41" s="10"/>
      <c r="C41" s="9">
        <f>IF(B41="","",IFERROR(VLOOKUP(B41,'01_Employes'!$A$6:$Q$30,4,FALSE),"⚠ inconnu"))</f>
      </c>
      <c r="D41" s="18"/>
      <c r="E41" s="18"/>
      <c r="F41" s="18"/>
      <c r="G41" s="25">
        <f>IF(OR(E41="",F41=""),"",F41-E41+1)</f>
      </c>
      <c r="H41" s="10"/>
      <c r="I41" s="10"/>
    </row>
    <row r="42" spans="1:9" x14ac:dyDescent="0.25">
      <c r="A42">
        <v>38</v>
      </c>
      <c r="B42" s="10"/>
      <c r="C42" s="9">
        <f>IF(B42="","",IFERROR(VLOOKUP(B42,'01_Employes'!$A$6:$Q$30,4,FALSE),"⚠ inconnu"))</f>
      </c>
      <c r="D42" s="18"/>
      <c r="E42" s="18"/>
      <c r="F42" s="18"/>
      <c r="G42" s="25">
        <f>IF(OR(E42="",F42=""),"",F42-E42+1)</f>
      </c>
      <c r="H42" s="10"/>
      <c r="I42" s="10"/>
    </row>
    <row r="43" spans="1:9" x14ac:dyDescent="0.25">
      <c r="A43">
        <v>39</v>
      </c>
      <c r="B43" s="10"/>
      <c r="C43" s="9">
        <f>IF(B43="","",IFERROR(VLOOKUP(B43,'01_Employes'!$A$6:$Q$30,4,FALSE),"⚠ inconnu"))</f>
      </c>
      <c r="D43" s="18"/>
      <c r="E43" s="18"/>
      <c r="F43" s="18"/>
      <c r="G43" s="25">
        <f>IF(OR(E43="",F43=""),"",F43-E43+1)</f>
      </c>
      <c r="H43" s="10"/>
      <c r="I43" s="10"/>
    </row>
    <row r="44" spans="1:9" x14ac:dyDescent="0.25">
      <c r="A44">
        <v>40</v>
      </c>
      <c r="B44" s="10"/>
      <c r="C44" s="9">
        <f>IF(B44="","",IFERROR(VLOOKUP(B44,'01_Employes'!$A$6:$Q$30,4,FALSE),"⚠ inconnu"))</f>
      </c>
      <c r="D44" s="18"/>
      <c r="E44" s="18"/>
      <c r="F44" s="18"/>
      <c r="G44" s="25">
        <f>IF(OR(E44="",F44=""),"",F44-E44+1)</f>
      </c>
      <c r="H44" s="10"/>
      <c r="I44" s="10"/>
    </row>
    <row r="46" spans="1:6" x14ac:dyDescent="0.25">
      <c r="A46" s="7" t="s">
        <v>273</v>
      </c>
      <c r="B46" s="7"/>
      <c r="C46" s="7"/>
      <c r="D46" s="7"/>
      <c r="E46" s="7"/>
      <c r="F46" s="7"/>
    </row>
    <row r="47" ht="28" customHeight="1" spans="1:6" x14ac:dyDescent="0.25">
      <c r="A47" s="8" t="s">
        <v>145</v>
      </c>
      <c r="B47" s="8" t="s">
        <v>148</v>
      </c>
      <c r="C47" s="8" t="s">
        <v>274</v>
      </c>
      <c r="D47" s="8" t="s">
        <v>275</v>
      </c>
      <c r="E47" s="16" t="s">
        <v>276</v>
      </c>
      <c r="F47" s="16" t="s">
        <v>277</v>
      </c>
    </row>
    <row r="48" spans="1:6" x14ac:dyDescent="0.25">
      <c r="A48" s="9">
        <f>IF('01_Employes'!A6="","",'01_Employes'!A6)</f>
      </c>
      <c r="B48" s="9">
        <f>IF(A48="","",'01_Employes'!D6)</f>
      </c>
      <c r="C48" s="28">
        <v>30</v>
      </c>
      <c r="D48" s="25">
        <f>IF(A48="","",SUMIFS($G$5:$G$44,$B$5:$B$44,A48,$I$5:$I$44,"Approuvé"))</f>
      </c>
      <c r="E48" s="25">
        <f>IF(A48="","",C48-D48)</f>
      </c>
      <c r="F48" s="18"/>
    </row>
    <row r="49" spans="1:6" x14ac:dyDescent="0.25">
      <c r="A49" s="9">
        <f>IF('01_Employes'!A7="","",'01_Employes'!A7)</f>
      </c>
      <c r="B49" s="9">
        <f>IF(A49="","",'01_Employes'!D7)</f>
      </c>
      <c r="C49" s="28">
        <v>30</v>
      </c>
      <c r="D49" s="25">
        <f>IF(A49="","",SUMIFS($G$5:$G$44,$B$5:$B$44,A49,$I$5:$I$44,"Approuvé"))</f>
      </c>
      <c r="E49" s="25">
        <f>IF(A49="","",C49-D49)</f>
      </c>
      <c r="F49" s="18"/>
    </row>
    <row r="50" spans="1:6" x14ac:dyDescent="0.25">
      <c r="A50" s="9">
        <f>IF('01_Employes'!A8="","",'01_Employes'!A8)</f>
      </c>
      <c r="B50" s="9">
        <f>IF(A50="","",'01_Employes'!D8)</f>
      </c>
      <c r="C50" s="28">
        <v>30</v>
      </c>
      <c r="D50" s="25">
        <f>IF(A50="","",SUMIFS($G$5:$G$44,$B$5:$B$44,A50,$I$5:$I$44,"Approuvé"))</f>
      </c>
      <c r="E50" s="25">
        <f>IF(A50="","",C50-D50)</f>
      </c>
      <c r="F50" s="18"/>
    </row>
    <row r="51" spans="1:6" x14ac:dyDescent="0.25">
      <c r="A51" s="9">
        <f>IF('01_Employes'!A9="","",'01_Employes'!A9)</f>
      </c>
      <c r="B51" s="9">
        <f>IF(A51="","",'01_Employes'!D9)</f>
      </c>
      <c r="C51" s="28">
        <v>30</v>
      </c>
      <c r="D51" s="25">
        <f>IF(A51="","",SUMIFS($G$5:$G$44,$B$5:$B$44,A51,$I$5:$I$44,"Approuvé"))</f>
      </c>
      <c r="E51" s="25">
        <f>IF(A51="","",C51-D51)</f>
      </c>
      <c r="F51" s="18"/>
    </row>
    <row r="52" spans="1:6" x14ac:dyDescent="0.25">
      <c r="A52" s="9">
        <f>IF('01_Employes'!A10="","",'01_Employes'!A10)</f>
      </c>
      <c r="B52" s="9">
        <f>IF(A52="","",'01_Employes'!D10)</f>
      </c>
      <c r="C52" s="28">
        <v>30</v>
      </c>
      <c r="D52" s="25">
        <f>IF(A52="","",SUMIFS($G$5:$G$44,$B$5:$B$44,A52,$I$5:$I$44,"Approuvé"))</f>
      </c>
      <c r="E52" s="25">
        <f>IF(A52="","",C52-D52)</f>
      </c>
      <c r="F52" s="18"/>
    </row>
    <row r="53" spans="1:6" x14ac:dyDescent="0.25">
      <c r="A53" s="9">
        <f>IF('01_Employes'!A11="","",'01_Employes'!A11)</f>
      </c>
      <c r="B53" s="9">
        <f>IF(A53="","",'01_Employes'!D11)</f>
      </c>
      <c r="C53" s="28">
        <v>30</v>
      </c>
      <c r="D53" s="25">
        <f>IF(A53="","",SUMIFS($G$5:$G$44,$B$5:$B$44,A53,$I$5:$I$44,"Approuvé"))</f>
      </c>
      <c r="E53" s="25">
        <f>IF(A53="","",C53-D53)</f>
      </c>
      <c r="F53" s="18"/>
    </row>
    <row r="54" spans="1:6" x14ac:dyDescent="0.25">
      <c r="A54" s="9">
        <f>IF('01_Employes'!A12="","",'01_Employes'!A12)</f>
      </c>
      <c r="B54" s="9">
        <f>IF(A54="","",'01_Employes'!D12)</f>
      </c>
      <c r="C54" s="28">
        <v>30</v>
      </c>
      <c r="D54" s="25">
        <f>IF(A54="","",SUMIFS($G$5:$G$44,$B$5:$B$44,A54,$I$5:$I$44,"Approuvé"))</f>
      </c>
      <c r="E54" s="25">
        <f>IF(A54="","",C54-D54)</f>
      </c>
      <c r="F54" s="18"/>
    </row>
    <row r="55" spans="1:6" x14ac:dyDescent="0.25">
      <c r="A55" s="9">
        <f>IF('01_Employes'!A13="","",'01_Employes'!A13)</f>
      </c>
      <c r="B55" s="9">
        <f>IF(A55="","",'01_Employes'!D13)</f>
      </c>
      <c r="C55" s="28">
        <v>30</v>
      </c>
      <c r="D55" s="25">
        <f>IF(A55="","",SUMIFS($G$5:$G$44,$B$5:$B$44,A55,$I$5:$I$44,"Approuvé"))</f>
      </c>
      <c r="E55" s="25">
        <f>IF(A55="","",C55-D55)</f>
      </c>
      <c r="F55" s="18"/>
    </row>
    <row r="56" spans="1:6" x14ac:dyDescent="0.25">
      <c r="A56" s="9">
        <f>IF('01_Employes'!A14="","",'01_Employes'!A14)</f>
      </c>
      <c r="B56" s="9">
        <f>IF(A56="","",'01_Employes'!D14)</f>
      </c>
      <c r="C56" s="28">
        <v>30</v>
      </c>
      <c r="D56" s="25">
        <f>IF(A56="","",SUMIFS($G$5:$G$44,$B$5:$B$44,A56,$I$5:$I$44,"Approuvé"))</f>
      </c>
      <c r="E56" s="25">
        <f>IF(A56="","",C56-D56)</f>
      </c>
      <c r="F56" s="18"/>
    </row>
    <row r="57" spans="1:6" x14ac:dyDescent="0.25">
      <c r="A57" s="9">
        <f>IF('01_Employes'!A15="","",'01_Employes'!A15)</f>
      </c>
      <c r="B57" s="9">
        <f>IF(A57="","",'01_Employes'!D15)</f>
      </c>
      <c r="C57" s="28">
        <v>30</v>
      </c>
      <c r="D57" s="25">
        <f>IF(A57="","",SUMIFS($G$5:$G$44,$B$5:$B$44,A57,$I$5:$I$44,"Approuvé"))</f>
      </c>
      <c r="E57" s="25">
        <f>IF(A57="","",C57-D57)</f>
      </c>
      <c r="F57" s="18"/>
    </row>
    <row r="58" spans="1:6" x14ac:dyDescent="0.25">
      <c r="A58" s="9">
        <f>IF('01_Employes'!A16="","",'01_Employes'!A16)</f>
      </c>
      <c r="B58" s="9">
        <f>IF(A58="","",'01_Employes'!D16)</f>
      </c>
      <c r="C58" s="28">
        <v>30</v>
      </c>
      <c r="D58" s="25">
        <f>IF(A58="","",SUMIFS($G$5:$G$44,$B$5:$B$44,A58,$I$5:$I$44,"Approuvé"))</f>
      </c>
      <c r="E58" s="25">
        <f>IF(A58="","",C58-D58)</f>
      </c>
      <c r="F58" s="18"/>
    </row>
    <row r="59" spans="1:6" x14ac:dyDescent="0.25">
      <c r="A59" s="9">
        <f>IF('01_Employes'!A17="","",'01_Employes'!A17)</f>
      </c>
      <c r="B59" s="9">
        <f>IF(A59="","",'01_Employes'!D17)</f>
      </c>
      <c r="C59" s="28">
        <v>30</v>
      </c>
      <c r="D59" s="25">
        <f>IF(A59="","",SUMIFS($G$5:$G$44,$B$5:$B$44,A59,$I$5:$I$44,"Approuvé"))</f>
      </c>
      <c r="E59" s="25">
        <f>IF(A59="","",C59-D59)</f>
      </c>
      <c r="F59" s="18"/>
    </row>
    <row r="60" spans="1:6" x14ac:dyDescent="0.25">
      <c r="A60" s="9">
        <f>IF('01_Employes'!A18="","",'01_Employes'!A18)</f>
      </c>
      <c r="B60" s="9">
        <f>IF(A60="","",'01_Employes'!D18)</f>
      </c>
      <c r="C60" s="28">
        <v>30</v>
      </c>
      <c r="D60" s="25">
        <f>IF(A60="","",SUMIFS($G$5:$G$44,$B$5:$B$44,A60,$I$5:$I$44,"Approuvé"))</f>
      </c>
      <c r="E60" s="25">
        <f>IF(A60="","",C60-D60)</f>
      </c>
      <c r="F60" s="18"/>
    </row>
    <row r="61" spans="1:6" x14ac:dyDescent="0.25">
      <c r="A61" s="9">
        <f>IF('01_Employes'!A19="","",'01_Employes'!A19)</f>
      </c>
      <c r="B61" s="9">
        <f>IF(A61="","",'01_Employes'!D19)</f>
      </c>
      <c r="C61" s="28">
        <v>30</v>
      </c>
      <c r="D61" s="25">
        <f>IF(A61="","",SUMIFS($G$5:$G$44,$B$5:$B$44,A61,$I$5:$I$44,"Approuvé"))</f>
      </c>
      <c r="E61" s="25">
        <f>IF(A61="","",C61-D61)</f>
      </c>
      <c r="F61" s="18"/>
    </row>
    <row r="62" spans="1:6" x14ac:dyDescent="0.25">
      <c r="A62" s="9">
        <f>IF('01_Employes'!A20="","",'01_Employes'!A20)</f>
      </c>
      <c r="B62" s="9">
        <f>IF(A62="","",'01_Employes'!D20)</f>
      </c>
      <c r="C62" s="28">
        <v>30</v>
      </c>
      <c r="D62" s="25">
        <f>IF(A62="","",SUMIFS($G$5:$G$44,$B$5:$B$44,A62,$I$5:$I$44,"Approuvé"))</f>
      </c>
      <c r="E62" s="25">
        <f>IF(A62="","",C62-D62)</f>
      </c>
      <c r="F62" s="18"/>
    </row>
    <row r="63" spans="1:6" x14ac:dyDescent="0.25">
      <c r="A63" s="9">
        <f>IF('01_Employes'!A21="","",'01_Employes'!A21)</f>
      </c>
      <c r="B63" s="9">
        <f>IF(A63="","",'01_Employes'!D21)</f>
      </c>
      <c r="C63" s="28">
        <v>30</v>
      </c>
      <c r="D63" s="25">
        <f>IF(A63="","",SUMIFS($G$5:$G$44,$B$5:$B$44,A63,$I$5:$I$44,"Approuvé"))</f>
      </c>
      <c r="E63" s="25">
        <f>IF(A63="","",C63-D63)</f>
      </c>
      <c r="F63" s="18"/>
    </row>
    <row r="64" spans="1:6" x14ac:dyDescent="0.25">
      <c r="A64" s="9">
        <f>IF('01_Employes'!A22="","",'01_Employes'!A22)</f>
      </c>
      <c r="B64" s="9">
        <f>IF(A64="","",'01_Employes'!D22)</f>
      </c>
      <c r="C64" s="28">
        <v>30</v>
      </c>
      <c r="D64" s="25">
        <f>IF(A64="","",SUMIFS($G$5:$G$44,$B$5:$B$44,A64,$I$5:$I$44,"Approuvé"))</f>
      </c>
      <c r="E64" s="25">
        <f>IF(A64="","",C64-D64)</f>
      </c>
      <c r="F64" s="18"/>
    </row>
    <row r="65" spans="1:6" x14ac:dyDescent="0.25">
      <c r="A65" s="9">
        <f>IF('01_Employes'!A23="","",'01_Employes'!A23)</f>
      </c>
      <c r="B65" s="9">
        <f>IF(A65="","",'01_Employes'!D23)</f>
      </c>
      <c r="C65" s="28">
        <v>30</v>
      </c>
      <c r="D65" s="25">
        <f>IF(A65="","",SUMIFS($G$5:$G$44,$B$5:$B$44,A65,$I$5:$I$44,"Approuvé"))</f>
      </c>
      <c r="E65" s="25">
        <f>IF(A65="","",C65-D65)</f>
      </c>
      <c r="F65" s="18"/>
    </row>
    <row r="66" spans="1:6" x14ac:dyDescent="0.25">
      <c r="A66" s="9">
        <f>IF('01_Employes'!A24="","",'01_Employes'!A24)</f>
      </c>
      <c r="B66" s="9">
        <f>IF(A66="","",'01_Employes'!D24)</f>
      </c>
      <c r="C66" s="28">
        <v>30</v>
      </c>
      <c r="D66" s="25">
        <f>IF(A66="","",SUMIFS($G$5:$G$44,$B$5:$B$44,A66,$I$5:$I$44,"Approuvé"))</f>
      </c>
      <c r="E66" s="25">
        <f>IF(A66="","",C66-D66)</f>
      </c>
      <c r="F66" s="18"/>
    </row>
    <row r="67" spans="1:6" x14ac:dyDescent="0.25">
      <c r="A67" s="9">
        <f>IF('01_Employes'!A25="","",'01_Employes'!A25)</f>
      </c>
      <c r="B67" s="9">
        <f>IF(A67="","",'01_Employes'!D25)</f>
      </c>
      <c r="C67" s="28">
        <v>30</v>
      </c>
      <c r="D67" s="25">
        <f>IF(A67="","",SUMIFS($G$5:$G$44,$B$5:$B$44,A67,$I$5:$I$44,"Approuvé"))</f>
      </c>
      <c r="E67" s="25">
        <f>IF(A67="","",C67-D67)</f>
      </c>
      <c r="F67" s="18"/>
    </row>
    <row r="68" spans="1:6" x14ac:dyDescent="0.25">
      <c r="A68" s="9">
        <f>IF('01_Employes'!A26="","",'01_Employes'!A26)</f>
      </c>
      <c r="B68" s="9">
        <f>IF(A68="","",'01_Employes'!D26)</f>
      </c>
      <c r="C68" s="28">
        <v>30</v>
      </c>
      <c r="D68" s="25">
        <f>IF(A68="","",SUMIFS($G$5:$G$44,$B$5:$B$44,A68,$I$5:$I$44,"Approuvé"))</f>
      </c>
      <c r="E68" s="25">
        <f>IF(A68="","",C68-D68)</f>
      </c>
      <c r="F68" s="18"/>
    </row>
    <row r="69" spans="1:6" x14ac:dyDescent="0.25">
      <c r="A69" s="9">
        <f>IF('01_Employes'!A27="","",'01_Employes'!A27)</f>
      </c>
      <c r="B69" s="9">
        <f>IF(A69="","",'01_Employes'!D27)</f>
      </c>
      <c r="C69" s="28">
        <v>30</v>
      </c>
      <c r="D69" s="25">
        <f>IF(A69="","",SUMIFS($G$5:$G$44,$B$5:$B$44,A69,$I$5:$I$44,"Approuvé"))</f>
      </c>
      <c r="E69" s="25">
        <f>IF(A69="","",C69-D69)</f>
      </c>
      <c r="F69" s="18"/>
    </row>
    <row r="70" spans="1:6" x14ac:dyDescent="0.25">
      <c r="A70" s="9">
        <f>IF('01_Employes'!A28="","",'01_Employes'!A28)</f>
      </c>
      <c r="B70" s="9">
        <f>IF(A70="","",'01_Employes'!D28)</f>
      </c>
      <c r="C70" s="28">
        <v>30</v>
      </c>
      <c r="D70" s="25">
        <f>IF(A70="","",SUMIFS($G$5:$G$44,$B$5:$B$44,A70,$I$5:$I$44,"Approuvé"))</f>
      </c>
      <c r="E70" s="25">
        <f>IF(A70="","",C70-D70)</f>
      </c>
      <c r="F70" s="18"/>
    </row>
    <row r="71" spans="1:6" x14ac:dyDescent="0.25">
      <c r="A71" s="9">
        <f>IF('01_Employes'!A29="","",'01_Employes'!A29)</f>
      </c>
      <c r="B71" s="9">
        <f>IF(A71="","",'01_Employes'!D29)</f>
      </c>
      <c r="C71" s="28">
        <v>30</v>
      </c>
      <c r="D71" s="25">
        <f>IF(A71="","",SUMIFS($G$5:$G$44,$B$5:$B$44,A71,$I$5:$I$44,"Approuvé"))</f>
      </c>
      <c r="E71" s="25">
        <f>IF(A71="","",C71-D71)</f>
      </c>
      <c r="F71" s="18"/>
    </row>
    <row r="72" spans="1:6" x14ac:dyDescent="0.25">
      <c r="A72" s="9">
        <f>IF('01_Employes'!A30="","",'01_Employes'!A30)</f>
      </c>
      <c r="B72" s="9">
        <f>IF(A72="","",'01_Employes'!D30)</f>
      </c>
      <c r="C72" s="28">
        <v>30</v>
      </c>
      <c r="D72" s="25">
        <f>IF(A72="","",SUMIFS($G$5:$G$44,$B$5:$B$44,A72,$I$5:$I$44,"Approuvé"))</f>
      </c>
      <c r="E72" s="25">
        <f>IF(A72="","",C72-D72)</f>
      </c>
      <c r="F72" s="18"/>
    </row>
  </sheetData>
  <sheetProtection sheet="1" formatCells="0" formatColumns="0" formatRows="0" autoFilter="0" algorithmName="SHA-512" hashValue="mvI1kmOqxC/lfnXnHUFA/WAC2hFW8kaMsz4Qs/M8GgwzCpKFQw5jX2xKepqxihVIAkd7oz4H+06GiSNTOlvA7w==" saltValue="gy+93yIbyxicFMZ5sXK2qw==" spinCount="100000"/>
  <mergeCells count="2">
    <mergeCell ref="A1:I1"/>
    <mergeCell ref="A46:F46"/>
  </mergeCells>
  <dataValidations count="6">
    <dataValidation type="list" allowBlank="1" sqref="B10:B44">
      <formula1>='01_Employes'!$A$6:$A$30</formula1>
    </dataValidation>
    <dataValidation type="list" allowBlank="1" sqref="B5:B44">
      <formula1>='01_Employes'!$A$6:$A$30</formula1>
    </dataValidation>
    <dataValidation type="list" allowBlank="1" sqref="D10:D44">
      <formula1>='00_Parametres'!$E$40:$E$46</formula1>
    </dataValidation>
    <dataValidation type="list" allowBlank="1" sqref="D5:D44">
      <formula1>='00_Parametres'!$E$40:$E$46</formula1>
    </dataValidation>
    <dataValidation type="list" allowBlank="1" sqref="I10:I44">
      <formula1>"En attente,Approuvé,Refusé"</formula1>
    </dataValidation>
    <dataValidation type="list" allowBlank="1" sqref="I5:I44">
      <formula1>"En attente,Approuvé,Refusé"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5" width="12" customWidth="1"/>
    <col min="6" max="6" width="11" customWidth="1"/>
    <col min="7" max="7" width="13" customWidth="1"/>
    <col min="8" max="8" width="14" customWidth="1"/>
    <col min="9" max="9" width="11" customWidth="1"/>
    <col min="10" max="10" width="12" customWidth="1"/>
  </cols>
  <sheetData>
    <row r="1" ht="24" customHeight="1" spans="1:10" x14ac:dyDescent="0.25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</row>
    <row r="3" ht="28" customHeight="1" spans="1:10" x14ac:dyDescent="0.25">
      <c r="A3" s="8" t="s">
        <v>145</v>
      </c>
      <c r="B3" s="8" t="s">
        <v>148</v>
      </c>
      <c r="C3" s="8" t="s">
        <v>279</v>
      </c>
      <c r="D3" s="8" t="s">
        <v>246</v>
      </c>
      <c r="E3" s="8" t="s">
        <v>247</v>
      </c>
      <c r="F3" s="8" t="s">
        <v>280</v>
      </c>
      <c r="G3" s="8" t="s">
        <v>281</v>
      </c>
      <c r="H3" s="8" t="s">
        <v>282</v>
      </c>
      <c r="I3" s="8" t="s">
        <v>283</v>
      </c>
      <c r="J3" s="8" t="s">
        <v>284</v>
      </c>
    </row>
    <row r="4" spans="1:10" x14ac:dyDescent="0.25">
      <c r="A4" s="9">
        <f>IF('01_Employes'!A6="","",'01_Employes'!A6)</f>
      </c>
      <c r="B4" s="9">
        <f>IF(A4="","",'01_Employes'!D6)</f>
      </c>
      <c r="C4" s="9">
        <f>IF(A4="","",'01_Employes'!K6)</f>
      </c>
      <c r="D4" s="18"/>
      <c r="E4" s="18"/>
      <c r="F4" s="29">
        <f>IF(OR(D4="",E4=""),"",ROUND((E4-D4)/30,1))</f>
      </c>
      <c r="G4" s="18"/>
      <c r="H4" s="19">
        <f>IF(A4="","",'01_Employes'!L6)</f>
      </c>
      <c r="I4" s="25">
        <f>IF(E4="","",E4-TODAY())</f>
      </c>
      <c r="J4" s="9">
        <f>IF(I4="","",IF(I4&lt;0,"EXPIRÉ",IF(I4&lt;=30,"⚠ ≤ 30 j","OK")))</f>
      </c>
    </row>
    <row r="5" spans="1:10" x14ac:dyDescent="0.25">
      <c r="A5" s="9">
        <f>IF('01_Employes'!A7="","",'01_Employes'!A7)</f>
      </c>
      <c r="B5" s="9">
        <f>IF(A5="","",'01_Employes'!D7)</f>
      </c>
      <c r="C5" s="9">
        <f>IF(A5="","",'01_Employes'!K7)</f>
      </c>
      <c r="D5" s="18"/>
      <c r="E5" s="18"/>
      <c r="F5" s="29">
        <f>IF(OR(D5="",E5=""),"",ROUND((E5-D5)/30,1))</f>
      </c>
      <c r="G5" s="18"/>
      <c r="H5" s="19">
        <f>IF(A5="","",'01_Employes'!L7)</f>
      </c>
      <c r="I5" s="25">
        <f>IF(E5="","",E5-TODAY())</f>
      </c>
      <c r="J5" s="9">
        <f>IF(I5="","",IF(I5&lt;0,"EXPIRÉ",IF(I5&lt;=30,"⚠ ≤ 30 j","OK")))</f>
      </c>
    </row>
    <row r="6" spans="1:10" x14ac:dyDescent="0.25">
      <c r="A6" s="9">
        <f>IF('01_Employes'!A8="","",'01_Employes'!A8)</f>
      </c>
      <c r="B6" s="9">
        <f>IF(A6="","",'01_Employes'!D8)</f>
      </c>
      <c r="C6" s="9">
        <f>IF(A6="","",'01_Employes'!K8)</f>
      </c>
      <c r="D6" s="18"/>
      <c r="E6" s="18"/>
      <c r="F6" s="29">
        <f>IF(OR(D6="",E6=""),"",ROUND((E6-D6)/30,1))</f>
      </c>
      <c r="G6" s="18"/>
      <c r="H6" s="19">
        <f>IF(A6="","",'01_Employes'!L8)</f>
      </c>
      <c r="I6" s="25">
        <f>IF(E6="","",E6-TODAY())</f>
      </c>
      <c r="J6" s="9">
        <f>IF(I6="","",IF(I6&lt;0,"EXPIRÉ",IF(I6&lt;=30,"⚠ ≤ 30 j","OK")))</f>
      </c>
    </row>
    <row r="7" spans="1:10" x14ac:dyDescent="0.25">
      <c r="A7" s="9">
        <f>IF('01_Employes'!A9="","",'01_Employes'!A9)</f>
      </c>
      <c r="B7" s="9">
        <f>IF(A7="","",'01_Employes'!D9)</f>
      </c>
      <c r="C7" s="9">
        <f>IF(A7="","",'01_Employes'!K9)</f>
      </c>
      <c r="D7" s="18"/>
      <c r="E7" s="18"/>
      <c r="F7" s="29">
        <f>IF(OR(D7="",E7=""),"",ROUND((E7-D7)/30,1))</f>
      </c>
      <c r="G7" s="18"/>
      <c r="H7" s="19">
        <f>IF(A7="","",'01_Employes'!L9)</f>
      </c>
      <c r="I7" s="25">
        <f>IF(E7="","",E7-TODAY())</f>
      </c>
      <c r="J7" s="9">
        <f>IF(I7="","",IF(I7&lt;0,"EXPIRÉ",IF(I7&lt;=30,"⚠ ≤ 30 j","OK")))</f>
      </c>
    </row>
    <row r="8" spans="1:10" x14ac:dyDescent="0.25">
      <c r="A8" s="9">
        <f>IF('01_Employes'!A10="","",'01_Employes'!A10)</f>
      </c>
      <c r="B8" s="9">
        <f>IF(A8="","",'01_Employes'!D10)</f>
      </c>
      <c r="C8" s="9">
        <f>IF(A8="","",'01_Employes'!K10)</f>
      </c>
      <c r="D8" s="18"/>
      <c r="E8" s="18"/>
      <c r="F8" s="29">
        <f>IF(OR(D8="",E8=""),"",ROUND((E8-D8)/30,1))</f>
      </c>
      <c r="G8" s="18"/>
      <c r="H8" s="19">
        <f>IF(A8="","",'01_Employes'!L10)</f>
      </c>
      <c r="I8" s="25">
        <f>IF(E8="","",E8-TODAY())</f>
      </c>
      <c r="J8" s="9">
        <f>IF(I8="","",IF(I8&lt;0,"EXPIRÉ",IF(I8&lt;=30,"⚠ ≤ 30 j","OK")))</f>
      </c>
    </row>
    <row r="9" spans="1:10" x14ac:dyDescent="0.25">
      <c r="A9" s="9">
        <f>IF('01_Employes'!A11="","",'01_Employes'!A11)</f>
      </c>
      <c r="B9" s="9">
        <f>IF(A9="","",'01_Employes'!D11)</f>
      </c>
      <c r="C9" s="9">
        <f>IF(A9="","",'01_Employes'!K11)</f>
      </c>
      <c r="D9" s="18"/>
      <c r="E9" s="18"/>
      <c r="F9" s="29">
        <f>IF(OR(D9="",E9=""),"",ROUND((E9-D9)/30,1))</f>
      </c>
      <c r="G9" s="18"/>
      <c r="H9" s="19">
        <f>IF(A9="","",'01_Employes'!L11)</f>
      </c>
      <c r="I9" s="25">
        <f>IF(E9="","",E9-TODAY())</f>
      </c>
      <c r="J9" s="9">
        <f>IF(I9="","",IF(I9&lt;0,"EXPIRÉ",IF(I9&lt;=30,"⚠ ≤ 30 j","OK")))</f>
      </c>
    </row>
    <row r="10" spans="1:10" x14ac:dyDescent="0.25">
      <c r="A10" s="9">
        <f>IF('01_Employes'!A12="","",'01_Employes'!A12)</f>
      </c>
      <c r="B10" s="9">
        <f>IF(A10="","",'01_Employes'!D12)</f>
      </c>
      <c r="C10" s="9">
        <f>IF(A10="","",'01_Employes'!K12)</f>
      </c>
      <c r="D10" s="18"/>
      <c r="E10" s="18"/>
      <c r="F10" s="29">
        <f>IF(OR(D10="",E10=""),"",ROUND((E10-D10)/30,1))</f>
      </c>
      <c r="G10" s="18"/>
      <c r="H10" s="19">
        <f>IF(A10="","",'01_Employes'!L12)</f>
      </c>
      <c r="I10" s="25">
        <f>IF(E10="","",E10-TODAY())</f>
      </c>
      <c r="J10" s="9">
        <f>IF(I10="","",IF(I10&lt;0,"EXPIRÉ",IF(I10&lt;=30,"⚠ ≤ 30 j","OK")))</f>
      </c>
    </row>
    <row r="11" spans="1:10" x14ac:dyDescent="0.25">
      <c r="A11" s="9">
        <f>IF('01_Employes'!A13="","",'01_Employes'!A13)</f>
      </c>
      <c r="B11" s="9">
        <f>IF(A11="","",'01_Employes'!D13)</f>
      </c>
      <c r="C11" s="9">
        <f>IF(A11="","",'01_Employes'!K13)</f>
      </c>
      <c r="D11" s="18"/>
      <c r="E11" s="18"/>
      <c r="F11" s="29">
        <f>IF(OR(D11="",E11=""),"",ROUND((E11-D11)/30,1))</f>
      </c>
      <c r="G11" s="18"/>
      <c r="H11" s="19">
        <f>IF(A11="","",'01_Employes'!L13)</f>
      </c>
      <c r="I11" s="25">
        <f>IF(E11="","",E11-TODAY())</f>
      </c>
      <c r="J11" s="9">
        <f>IF(I11="","",IF(I11&lt;0,"EXPIRÉ",IF(I11&lt;=30,"⚠ ≤ 30 j","OK")))</f>
      </c>
    </row>
    <row r="12" spans="1:10" x14ac:dyDescent="0.25">
      <c r="A12" s="9">
        <f>IF('01_Employes'!A14="","",'01_Employes'!A14)</f>
      </c>
      <c r="B12" s="9">
        <f>IF(A12="","",'01_Employes'!D14)</f>
      </c>
      <c r="C12" s="9">
        <f>IF(A12="","",'01_Employes'!K14)</f>
      </c>
      <c r="D12" s="18"/>
      <c r="E12" s="18"/>
      <c r="F12" s="29">
        <f>IF(OR(D12="",E12=""),"",ROUND((E12-D12)/30,1))</f>
      </c>
      <c r="G12" s="18"/>
      <c r="H12" s="19">
        <f>IF(A12="","",'01_Employes'!L14)</f>
      </c>
      <c r="I12" s="25">
        <f>IF(E12="","",E12-TODAY())</f>
      </c>
      <c r="J12" s="9">
        <f>IF(I12="","",IF(I12&lt;0,"EXPIRÉ",IF(I12&lt;=30,"⚠ ≤ 30 j","OK")))</f>
      </c>
    </row>
    <row r="13" spans="1:10" x14ac:dyDescent="0.25">
      <c r="A13" s="9">
        <f>IF('01_Employes'!A15="","",'01_Employes'!A15)</f>
      </c>
      <c r="B13" s="9">
        <f>IF(A13="","",'01_Employes'!D15)</f>
      </c>
      <c r="C13" s="9">
        <f>IF(A13="","",'01_Employes'!K15)</f>
      </c>
      <c r="D13" s="18"/>
      <c r="E13" s="18"/>
      <c r="F13" s="29">
        <f>IF(OR(D13="",E13=""),"",ROUND((E13-D13)/30,1))</f>
      </c>
      <c r="G13" s="18"/>
      <c r="H13" s="19">
        <f>IF(A13="","",'01_Employes'!L15)</f>
      </c>
      <c r="I13" s="25">
        <f>IF(E13="","",E13-TODAY())</f>
      </c>
      <c r="J13" s="9">
        <f>IF(I13="","",IF(I13&lt;0,"EXPIRÉ",IF(I13&lt;=30,"⚠ ≤ 30 j","OK")))</f>
      </c>
    </row>
    <row r="14" spans="1:10" x14ac:dyDescent="0.25">
      <c r="A14" s="9">
        <f>IF('01_Employes'!A16="","",'01_Employes'!A16)</f>
      </c>
      <c r="B14" s="9">
        <f>IF(A14="","",'01_Employes'!D16)</f>
      </c>
      <c r="C14" s="9">
        <f>IF(A14="","",'01_Employes'!K16)</f>
      </c>
      <c r="D14" s="18"/>
      <c r="E14" s="18"/>
      <c r="F14" s="29">
        <f>IF(OR(D14="",E14=""),"",ROUND((E14-D14)/30,1))</f>
      </c>
      <c r="G14" s="18"/>
      <c r="H14" s="19">
        <f>IF(A14="","",'01_Employes'!L16)</f>
      </c>
      <c r="I14" s="25">
        <f>IF(E14="","",E14-TODAY())</f>
      </c>
      <c r="J14" s="9">
        <f>IF(I14="","",IF(I14&lt;0,"EXPIRÉ",IF(I14&lt;=30,"⚠ ≤ 30 j","OK")))</f>
      </c>
    </row>
    <row r="15" spans="1:10" x14ac:dyDescent="0.25">
      <c r="A15" s="9">
        <f>IF('01_Employes'!A17="","",'01_Employes'!A17)</f>
      </c>
      <c r="B15" s="9">
        <f>IF(A15="","",'01_Employes'!D17)</f>
      </c>
      <c r="C15" s="9">
        <f>IF(A15="","",'01_Employes'!K17)</f>
      </c>
      <c r="D15" s="18"/>
      <c r="E15" s="18"/>
      <c r="F15" s="29">
        <f>IF(OR(D15="",E15=""),"",ROUND((E15-D15)/30,1))</f>
      </c>
      <c r="G15" s="18"/>
      <c r="H15" s="19">
        <f>IF(A15="","",'01_Employes'!L17)</f>
      </c>
      <c r="I15" s="25">
        <f>IF(E15="","",E15-TODAY())</f>
      </c>
      <c r="J15" s="9">
        <f>IF(I15="","",IF(I15&lt;0,"EXPIRÉ",IF(I15&lt;=30,"⚠ ≤ 30 j","OK")))</f>
      </c>
    </row>
    <row r="16" spans="1:10" x14ac:dyDescent="0.25">
      <c r="A16" s="9">
        <f>IF('01_Employes'!A18="","",'01_Employes'!A18)</f>
      </c>
      <c r="B16" s="9">
        <f>IF(A16="","",'01_Employes'!D18)</f>
      </c>
      <c r="C16" s="9">
        <f>IF(A16="","",'01_Employes'!K18)</f>
      </c>
      <c r="D16" s="18"/>
      <c r="E16" s="18"/>
      <c r="F16" s="29">
        <f>IF(OR(D16="",E16=""),"",ROUND((E16-D16)/30,1))</f>
      </c>
      <c r="G16" s="18"/>
      <c r="H16" s="19">
        <f>IF(A16="","",'01_Employes'!L18)</f>
      </c>
      <c r="I16" s="25">
        <f>IF(E16="","",E16-TODAY())</f>
      </c>
      <c r="J16" s="9">
        <f>IF(I16="","",IF(I16&lt;0,"EXPIRÉ",IF(I16&lt;=30,"⚠ ≤ 30 j","OK")))</f>
      </c>
    </row>
    <row r="17" spans="1:10" x14ac:dyDescent="0.25">
      <c r="A17" s="9">
        <f>IF('01_Employes'!A19="","",'01_Employes'!A19)</f>
      </c>
      <c r="B17" s="9">
        <f>IF(A17="","",'01_Employes'!D19)</f>
      </c>
      <c r="C17" s="9">
        <f>IF(A17="","",'01_Employes'!K19)</f>
      </c>
      <c r="D17" s="18"/>
      <c r="E17" s="18"/>
      <c r="F17" s="29">
        <f>IF(OR(D17="",E17=""),"",ROUND((E17-D17)/30,1))</f>
      </c>
      <c r="G17" s="18"/>
      <c r="H17" s="19">
        <f>IF(A17="","",'01_Employes'!L19)</f>
      </c>
      <c r="I17" s="25">
        <f>IF(E17="","",E17-TODAY())</f>
      </c>
      <c r="J17" s="9">
        <f>IF(I17="","",IF(I17&lt;0,"EXPIRÉ",IF(I17&lt;=30,"⚠ ≤ 30 j","OK")))</f>
      </c>
    </row>
    <row r="18" spans="1:10" x14ac:dyDescent="0.25">
      <c r="A18" s="9">
        <f>IF('01_Employes'!A20="","",'01_Employes'!A20)</f>
      </c>
      <c r="B18" s="9">
        <f>IF(A18="","",'01_Employes'!D20)</f>
      </c>
      <c r="C18" s="9">
        <f>IF(A18="","",'01_Employes'!K20)</f>
      </c>
      <c r="D18" s="18"/>
      <c r="E18" s="18"/>
      <c r="F18" s="29">
        <f>IF(OR(D18="",E18=""),"",ROUND((E18-D18)/30,1))</f>
      </c>
      <c r="G18" s="18"/>
      <c r="H18" s="19">
        <f>IF(A18="","",'01_Employes'!L20)</f>
      </c>
      <c r="I18" s="25">
        <f>IF(E18="","",E18-TODAY())</f>
      </c>
      <c r="J18" s="9">
        <f>IF(I18="","",IF(I18&lt;0,"EXPIRÉ",IF(I18&lt;=30,"⚠ ≤ 30 j","OK")))</f>
      </c>
    </row>
    <row r="19" spans="1:10" x14ac:dyDescent="0.25">
      <c r="A19" s="9">
        <f>IF('01_Employes'!A21="","",'01_Employes'!A21)</f>
      </c>
      <c r="B19" s="9">
        <f>IF(A19="","",'01_Employes'!D21)</f>
      </c>
      <c r="C19" s="9">
        <f>IF(A19="","",'01_Employes'!K21)</f>
      </c>
      <c r="D19" s="18"/>
      <c r="E19" s="18"/>
      <c r="F19" s="29">
        <f>IF(OR(D19="",E19=""),"",ROUND((E19-D19)/30,1))</f>
      </c>
      <c r="G19" s="18"/>
      <c r="H19" s="19">
        <f>IF(A19="","",'01_Employes'!L21)</f>
      </c>
      <c r="I19" s="25">
        <f>IF(E19="","",E19-TODAY())</f>
      </c>
      <c r="J19" s="9">
        <f>IF(I19="","",IF(I19&lt;0,"EXPIRÉ",IF(I19&lt;=30,"⚠ ≤ 30 j","OK")))</f>
      </c>
    </row>
    <row r="20" spans="1:10" x14ac:dyDescent="0.25">
      <c r="A20" s="9">
        <f>IF('01_Employes'!A22="","",'01_Employes'!A22)</f>
      </c>
      <c r="B20" s="9">
        <f>IF(A20="","",'01_Employes'!D22)</f>
      </c>
      <c r="C20" s="9">
        <f>IF(A20="","",'01_Employes'!K22)</f>
      </c>
      <c r="D20" s="18"/>
      <c r="E20" s="18"/>
      <c r="F20" s="29">
        <f>IF(OR(D20="",E20=""),"",ROUND((E20-D20)/30,1))</f>
      </c>
      <c r="G20" s="18"/>
      <c r="H20" s="19">
        <f>IF(A20="","",'01_Employes'!L22)</f>
      </c>
      <c r="I20" s="25">
        <f>IF(E20="","",E20-TODAY())</f>
      </c>
      <c r="J20" s="9">
        <f>IF(I20="","",IF(I20&lt;0,"EXPIRÉ",IF(I20&lt;=30,"⚠ ≤ 30 j","OK")))</f>
      </c>
    </row>
    <row r="21" spans="1:10" x14ac:dyDescent="0.25">
      <c r="A21" s="9">
        <f>IF('01_Employes'!A23="","",'01_Employes'!A23)</f>
      </c>
      <c r="B21" s="9">
        <f>IF(A21="","",'01_Employes'!D23)</f>
      </c>
      <c r="C21" s="9">
        <f>IF(A21="","",'01_Employes'!K23)</f>
      </c>
      <c r="D21" s="18"/>
      <c r="E21" s="18"/>
      <c r="F21" s="29">
        <f>IF(OR(D21="",E21=""),"",ROUND((E21-D21)/30,1))</f>
      </c>
      <c r="G21" s="18"/>
      <c r="H21" s="19">
        <f>IF(A21="","",'01_Employes'!L23)</f>
      </c>
      <c r="I21" s="25">
        <f>IF(E21="","",E21-TODAY())</f>
      </c>
      <c r="J21" s="9">
        <f>IF(I21="","",IF(I21&lt;0,"EXPIRÉ",IF(I21&lt;=30,"⚠ ≤ 30 j","OK")))</f>
      </c>
    </row>
    <row r="22" spans="1:10" x14ac:dyDescent="0.25">
      <c r="A22" s="9">
        <f>IF('01_Employes'!A24="","",'01_Employes'!A24)</f>
      </c>
      <c r="B22" s="9">
        <f>IF(A22="","",'01_Employes'!D24)</f>
      </c>
      <c r="C22" s="9">
        <f>IF(A22="","",'01_Employes'!K24)</f>
      </c>
      <c r="D22" s="18"/>
      <c r="E22" s="18"/>
      <c r="F22" s="29">
        <f>IF(OR(D22="",E22=""),"",ROUND((E22-D22)/30,1))</f>
      </c>
      <c r="G22" s="18"/>
      <c r="H22" s="19">
        <f>IF(A22="","",'01_Employes'!L24)</f>
      </c>
      <c r="I22" s="25">
        <f>IF(E22="","",E22-TODAY())</f>
      </c>
      <c r="J22" s="9">
        <f>IF(I22="","",IF(I22&lt;0,"EXPIRÉ",IF(I22&lt;=30,"⚠ ≤ 30 j","OK")))</f>
      </c>
    </row>
    <row r="23" spans="1:10" x14ac:dyDescent="0.25">
      <c r="A23" s="9">
        <f>IF('01_Employes'!A25="","",'01_Employes'!A25)</f>
      </c>
      <c r="B23" s="9">
        <f>IF(A23="","",'01_Employes'!D25)</f>
      </c>
      <c r="C23" s="9">
        <f>IF(A23="","",'01_Employes'!K25)</f>
      </c>
      <c r="D23" s="18"/>
      <c r="E23" s="18"/>
      <c r="F23" s="29">
        <f>IF(OR(D23="",E23=""),"",ROUND((E23-D23)/30,1))</f>
      </c>
      <c r="G23" s="18"/>
      <c r="H23" s="19">
        <f>IF(A23="","",'01_Employes'!L25)</f>
      </c>
      <c r="I23" s="25">
        <f>IF(E23="","",E23-TODAY())</f>
      </c>
      <c r="J23" s="9">
        <f>IF(I23="","",IF(I23&lt;0,"EXPIRÉ",IF(I23&lt;=30,"⚠ ≤ 30 j","OK")))</f>
      </c>
    </row>
    <row r="24" spans="1:10" x14ac:dyDescent="0.25">
      <c r="A24" s="9">
        <f>IF('01_Employes'!A26="","",'01_Employes'!A26)</f>
      </c>
      <c r="B24" s="9">
        <f>IF(A24="","",'01_Employes'!D26)</f>
      </c>
      <c r="C24" s="9">
        <f>IF(A24="","",'01_Employes'!K26)</f>
      </c>
      <c r="D24" s="18"/>
      <c r="E24" s="18"/>
      <c r="F24" s="29">
        <f>IF(OR(D24="",E24=""),"",ROUND((E24-D24)/30,1))</f>
      </c>
      <c r="G24" s="18"/>
      <c r="H24" s="19">
        <f>IF(A24="","",'01_Employes'!L26)</f>
      </c>
      <c r="I24" s="25">
        <f>IF(E24="","",E24-TODAY())</f>
      </c>
      <c r="J24" s="9">
        <f>IF(I24="","",IF(I24&lt;0,"EXPIRÉ",IF(I24&lt;=30,"⚠ ≤ 30 j","OK")))</f>
      </c>
    </row>
    <row r="25" spans="1:10" x14ac:dyDescent="0.25">
      <c r="A25" s="9">
        <f>IF('01_Employes'!A27="","",'01_Employes'!A27)</f>
      </c>
      <c r="B25" s="9">
        <f>IF(A25="","",'01_Employes'!D27)</f>
      </c>
      <c r="C25" s="9">
        <f>IF(A25="","",'01_Employes'!K27)</f>
      </c>
      <c r="D25" s="18"/>
      <c r="E25" s="18"/>
      <c r="F25" s="29">
        <f>IF(OR(D25="",E25=""),"",ROUND((E25-D25)/30,1))</f>
      </c>
      <c r="G25" s="18"/>
      <c r="H25" s="19">
        <f>IF(A25="","",'01_Employes'!L27)</f>
      </c>
      <c r="I25" s="25">
        <f>IF(E25="","",E25-TODAY())</f>
      </c>
      <c r="J25" s="9">
        <f>IF(I25="","",IF(I25&lt;0,"EXPIRÉ",IF(I25&lt;=30,"⚠ ≤ 30 j","OK")))</f>
      </c>
    </row>
    <row r="26" spans="1:10" x14ac:dyDescent="0.25">
      <c r="A26" s="9">
        <f>IF('01_Employes'!A28="","",'01_Employes'!A28)</f>
      </c>
      <c r="B26" s="9">
        <f>IF(A26="","",'01_Employes'!D28)</f>
      </c>
      <c r="C26" s="9">
        <f>IF(A26="","",'01_Employes'!K28)</f>
      </c>
      <c r="D26" s="18"/>
      <c r="E26" s="18"/>
      <c r="F26" s="29">
        <f>IF(OR(D26="",E26=""),"",ROUND((E26-D26)/30,1))</f>
      </c>
      <c r="G26" s="18"/>
      <c r="H26" s="19">
        <f>IF(A26="","",'01_Employes'!L28)</f>
      </c>
      <c r="I26" s="25">
        <f>IF(E26="","",E26-TODAY())</f>
      </c>
      <c r="J26" s="9">
        <f>IF(I26="","",IF(I26&lt;0,"EXPIRÉ",IF(I26&lt;=30,"⚠ ≤ 30 j","OK")))</f>
      </c>
    </row>
    <row r="27" spans="1:10" x14ac:dyDescent="0.25">
      <c r="A27" s="9">
        <f>IF('01_Employes'!A29="","",'01_Employes'!A29)</f>
      </c>
      <c r="B27" s="9">
        <f>IF(A27="","",'01_Employes'!D29)</f>
      </c>
      <c r="C27" s="9">
        <f>IF(A27="","",'01_Employes'!K29)</f>
      </c>
      <c r="D27" s="18"/>
      <c r="E27" s="18"/>
      <c r="F27" s="29">
        <f>IF(OR(D27="",E27=""),"",ROUND((E27-D27)/30,1))</f>
      </c>
      <c r="G27" s="18"/>
      <c r="H27" s="19">
        <f>IF(A27="","",'01_Employes'!L29)</f>
      </c>
      <c r="I27" s="25">
        <f>IF(E27="","",E27-TODAY())</f>
      </c>
      <c r="J27" s="9">
        <f>IF(I27="","",IF(I27&lt;0,"EXPIRÉ",IF(I27&lt;=30,"⚠ ≤ 30 j","OK")))</f>
      </c>
    </row>
    <row r="28" spans="1:10" x14ac:dyDescent="0.25">
      <c r="A28" s="9">
        <f>IF('01_Employes'!A30="","",'01_Employes'!A30)</f>
      </c>
      <c r="B28" s="9">
        <f>IF(A28="","",'01_Employes'!D30)</f>
      </c>
      <c r="C28" s="9">
        <f>IF(A28="","",'01_Employes'!K30)</f>
      </c>
      <c r="D28" s="18"/>
      <c r="E28" s="18"/>
      <c r="F28" s="29">
        <f>IF(OR(D28="",E28=""),"",ROUND((E28-D28)/30,1))</f>
      </c>
      <c r="G28" s="18"/>
      <c r="H28" s="19">
        <f>IF(A28="","",'01_Employes'!L30)</f>
      </c>
      <c r="I28" s="25">
        <f>IF(E28="","",E28-TODAY())</f>
      </c>
      <c r="J28" s="9">
        <f>IF(I28="","",IF(I28&lt;0,"EXPIRÉ",IF(I28&lt;=30,"⚠ ≤ 30 j","OK")))</f>
      </c>
    </row>
  </sheetData>
  <sheetProtection sheet="1" formatCells="0" formatColumns="0" formatRows="0" autoFilter="0" algorithmName="SHA-512" hashValue="v6anmAUw29PpYSpapKymIBztR3c7glddcAYQb9uKTsoLBPnzOmvgGTe9RzFNGCJwbVMZ49s41K8+mLPmJoh9zQ==" saltValue="YIEqHHTaHNyQjKJqszb8/w==" spinCount="100000"/>
  <mergeCells count="1">
    <mergeCell ref="A1:J1"/>
  </mergeCells>
  <conditionalFormatting sqref="A4:J28">
    <cfRule type="expression" dxfId="3" priority="1">
      <formula>$J4="EXPIRÉ"</formula>
    </cfRule>
  </conditionalFormatting>
  <conditionalFormatting sqref="A4:J28">
    <cfRule type="expression" dxfId="4" priority="2">
      <formula>$J4="⚠ ≤ 30 j"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0" customWidth="1"/>
    <col min="4" max="4" width="22" customWidth="1"/>
    <col min="5" max="5" width="10" customWidth="1"/>
    <col min="6" max="7" width="26" customWidth="1"/>
    <col min="8" max="8" width="22" customWidth="1"/>
    <col min="9" max="9" width="20" customWidth="1"/>
  </cols>
  <sheetData>
    <row r="1" ht="24" customHeight="1" spans="1:9" x14ac:dyDescent="0.25">
      <c r="A1" s="1" t="s">
        <v>285</v>
      </c>
      <c r="B1" s="1"/>
      <c r="C1" s="1"/>
      <c r="D1" s="1"/>
      <c r="E1" s="1"/>
      <c r="F1" s="1"/>
      <c r="G1" s="1"/>
      <c r="H1" s="1"/>
      <c r="I1" s="1"/>
    </row>
    <row r="3" ht="28" customHeight="1" spans="1:9" x14ac:dyDescent="0.25">
      <c r="A3" s="8" t="s">
        <v>145</v>
      </c>
      <c r="B3" s="8" t="s">
        <v>148</v>
      </c>
      <c r="C3" s="8" t="s">
        <v>11</v>
      </c>
      <c r="D3" s="8" t="s">
        <v>286</v>
      </c>
      <c r="E3" s="8" t="s">
        <v>287</v>
      </c>
      <c r="F3" s="8" t="s">
        <v>288</v>
      </c>
      <c r="G3" s="8" t="s">
        <v>289</v>
      </c>
      <c r="H3" s="8" t="s">
        <v>290</v>
      </c>
      <c r="I3" s="8" t="s">
        <v>277</v>
      </c>
    </row>
    <row r="4" spans="1:9" x14ac:dyDescent="0.25">
      <c r="A4" s="9">
        <f>IF('01_Employes'!A6="","",'01_Employes'!A6)</f>
      </c>
      <c r="B4" s="9">
        <f>IF(A4="","",'01_Employes'!D6)</f>
      </c>
      <c r="C4" s="9">
        <f>IF(A4="","",'01_Employes'!E6)</f>
      </c>
      <c r="D4" s="10"/>
      <c r="E4" s="10"/>
      <c r="F4" s="10"/>
      <c r="G4" s="10"/>
      <c r="H4" s="10"/>
      <c r="I4" s="10"/>
    </row>
    <row r="5" spans="1:9" x14ac:dyDescent="0.25">
      <c r="A5" s="9">
        <f>IF('01_Employes'!A7="","",'01_Employes'!A7)</f>
      </c>
      <c r="B5" s="9">
        <f>IF(A5="","",'01_Employes'!D7)</f>
      </c>
      <c r="C5" s="9">
        <f>IF(A5="","",'01_Employes'!E7)</f>
      </c>
      <c r="D5" s="10"/>
      <c r="E5" s="10"/>
      <c r="F5" s="10"/>
      <c r="G5" s="10"/>
      <c r="H5" s="10"/>
      <c r="I5" s="10"/>
    </row>
    <row r="6" spans="1:9" x14ac:dyDescent="0.25">
      <c r="A6" s="9">
        <f>IF('01_Employes'!A8="","",'01_Employes'!A8)</f>
      </c>
      <c r="B6" s="9">
        <f>IF(A6="","",'01_Employes'!D8)</f>
      </c>
      <c r="C6" s="9">
        <f>IF(A6="","",'01_Employes'!E8)</f>
      </c>
      <c r="D6" s="10"/>
      <c r="E6" s="10"/>
      <c r="F6" s="10"/>
      <c r="G6" s="10"/>
      <c r="H6" s="10"/>
      <c r="I6" s="10"/>
    </row>
    <row r="7" spans="1:9" x14ac:dyDescent="0.25">
      <c r="A7" s="9">
        <f>IF('01_Employes'!A9="","",'01_Employes'!A9)</f>
      </c>
      <c r="B7" s="9">
        <f>IF(A7="","",'01_Employes'!D9)</f>
      </c>
      <c r="C7" s="9">
        <f>IF(A7="","",'01_Employes'!E9)</f>
      </c>
      <c r="D7" s="10"/>
      <c r="E7" s="10"/>
      <c r="F7" s="10"/>
      <c r="G7" s="10"/>
      <c r="H7" s="10"/>
      <c r="I7" s="10"/>
    </row>
    <row r="8" spans="1:9" x14ac:dyDescent="0.25">
      <c r="A8" s="9">
        <f>IF('01_Employes'!A10="","",'01_Employes'!A10)</f>
      </c>
      <c r="B8" s="9">
        <f>IF(A8="","",'01_Employes'!D10)</f>
      </c>
      <c r="C8" s="9">
        <f>IF(A8="","",'01_Employes'!E10)</f>
      </c>
      <c r="D8" s="10"/>
      <c r="E8" s="10"/>
      <c r="F8" s="10"/>
      <c r="G8" s="10"/>
      <c r="H8" s="10"/>
      <c r="I8" s="10"/>
    </row>
    <row r="9" spans="1:9" x14ac:dyDescent="0.25">
      <c r="A9" s="9">
        <f>IF('01_Employes'!A11="","",'01_Employes'!A11)</f>
      </c>
      <c r="B9" s="9">
        <f>IF(A9="","",'01_Employes'!D11)</f>
      </c>
      <c r="C9" s="9">
        <f>IF(A9="","",'01_Employes'!E11)</f>
      </c>
      <c r="D9" s="10"/>
      <c r="E9" s="10"/>
      <c r="F9" s="10"/>
      <c r="G9" s="10"/>
      <c r="H9" s="10"/>
      <c r="I9" s="10"/>
    </row>
    <row r="10" spans="1:9" x14ac:dyDescent="0.25">
      <c r="A10" s="9">
        <f>IF('01_Employes'!A12="","",'01_Employes'!A12)</f>
      </c>
      <c r="B10" s="9">
        <f>IF(A10="","",'01_Employes'!D12)</f>
      </c>
      <c r="C10" s="9">
        <f>IF(A10="","",'01_Employes'!E12)</f>
      </c>
      <c r="D10" s="10"/>
      <c r="E10" s="10"/>
      <c r="F10" s="10"/>
      <c r="G10" s="10"/>
      <c r="H10" s="10"/>
      <c r="I10" s="10"/>
    </row>
    <row r="11" spans="1:9" x14ac:dyDescent="0.25">
      <c r="A11" s="9">
        <f>IF('01_Employes'!A13="","",'01_Employes'!A13)</f>
      </c>
      <c r="B11" s="9">
        <f>IF(A11="","",'01_Employes'!D13)</f>
      </c>
      <c r="C11" s="9">
        <f>IF(A11="","",'01_Employes'!E13)</f>
      </c>
      <c r="D11" s="10"/>
      <c r="E11" s="10"/>
      <c r="F11" s="10"/>
      <c r="G11" s="10"/>
      <c r="H11" s="10"/>
      <c r="I11" s="10"/>
    </row>
    <row r="12" spans="1:9" x14ac:dyDescent="0.25">
      <c r="A12" s="9">
        <f>IF('01_Employes'!A14="","",'01_Employes'!A14)</f>
      </c>
      <c r="B12" s="9">
        <f>IF(A12="","",'01_Employes'!D14)</f>
      </c>
      <c r="C12" s="9">
        <f>IF(A12="","",'01_Employes'!E14)</f>
      </c>
      <c r="D12" s="10"/>
      <c r="E12" s="10"/>
      <c r="F12" s="10"/>
      <c r="G12" s="10"/>
      <c r="H12" s="10"/>
      <c r="I12" s="10"/>
    </row>
    <row r="13" spans="1:9" x14ac:dyDescent="0.25">
      <c r="A13" s="9">
        <f>IF('01_Employes'!A15="","",'01_Employes'!A15)</f>
      </c>
      <c r="B13" s="9">
        <f>IF(A13="","",'01_Employes'!D15)</f>
      </c>
      <c r="C13" s="9">
        <f>IF(A13="","",'01_Employes'!E15)</f>
      </c>
      <c r="D13" s="10"/>
      <c r="E13" s="10"/>
      <c r="F13" s="10"/>
      <c r="G13" s="10"/>
      <c r="H13" s="10"/>
      <c r="I13" s="10"/>
    </row>
    <row r="14" spans="1:9" x14ac:dyDescent="0.25">
      <c r="A14" s="9">
        <f>IF('01_Employes'!A16="","",'01_Employes'!A16)</f>
      </c>
      <c r="B14" s="9">
        <f>IF(A14="","",'01_Employes'!D16)</f>
      </c>
      <c r="C14" s="9">
        <f>IF(A14="","",'01_Employes'!E16)</f>
      </c>
      <c r="D14" s="10"/>
      <c r="E14" s="10"/>
      <c r="F14" s="10"/>
      <c r="G14" s="10"/>
      <c r="H14" s="10"/>
      <c r="I14" s="10"/>
    </row>
    <row r="15" spans="1:9" x14ac:dyDescent="0.25">
      <c r="A15" s="9">
        <f>IF('01_Employes'!A17="","",'01_Employes'!A17)</f>
      </c>
      <c r="B15" s="9">
        <f>IF(A15="","",'01_Employes'!D17)</f>
      </c>
      <c r="C15" s="9">
        <f>IF(A15="","",'01_Employes'!E17)</f>
      </c>
      <c r="D15" s="10"/>
      <c r="E15" s="10"/>
      <c r="F15" s="10"/>
      <c r="G15" s="10"/>
      <c r="H15" s="10"/>
      <c r="I15" s="10"/>
    </row>
    <row r="16" spans="1:9" x14ac:dyDescent="0.25">
      <c r="A16" s="9">
        <f>IF('01_Employes'!A18="","",'01_Employes'!A18)</f>
      </c>
      <c r="B16" s="9">
        <f>IF(A16="","",'01_Employes'!D18)</f>
      </c>
      <c r="C16" s="9">
        <f>IF(A16="","",'01_Employes'!E18)</f>
      </c>
      <c r="D16" s="10"/>
      <c r="E16" s="10"/>
      <c r="F16" s="10"/>
      <c r="G16" s="10"/>
      <c r="H16" s="10"/>
      <c r="I16" s="10"/>
    </row>
    <row r="17" spans="1:9" x14ac:dyDescent="0.25">
      <c r="A17" s="9">
        <f>IF('01_Employes'!A19="","",'01_Employes'!A19)</f>
      </c>
      <c r="B17" s="9">
        <f>IF(A17="","",'01_Employes'!D19)</f>
      </c>
      <c r="C17" s="9">
        <f>IF(A17="","",'01_Employes'!E19)</f>
      </c>
      <c r="D17" s="10"/>
      <c r="E17" s="10"/>
      <c r="F17" s="10"/>
      <c r="G17" s="10"/>
      <c r="H17" s="10"/>
      <c r="I17" s="10"/>
    </row>
    <row r="18" spans="1:9" x14ac:dyDescent="0.25">
      <c r="A18" s="9">
        <f>IF('01_Employes'!A20="","",'01_Employes'!A20)</f>
      </c>
      <c r="B18" s="9">
        <f>IF(A18="","",'01_Employes'!D20)</f>
      </c>
      <c r="C18" s="9">
        <f>IF(A18="","",'01_Employes'!E20)</f>
      </c>
      <c r="D18" s="10"/>
      <c r="E18" s="10"/>
      <c r="F18" s="10"/>
      <c r="G18" s="10"/>
      <c r="H18" s="10"/>
      <c r="I18" s="10"/>
    </row>
    <row r="19" spans="1:9" x14ac:dyDescent="0.25">
      <c r="A19" s="9">
        <f>IF('01_Employes'!A21="","",'01_Employes'!A21)</f>
      </c>
      <c r="B19" s="9">
        <f>IF(A19="","",'01_Employes'!D21)</f>
      </c>
      <c r="C19" s="9">
        <f>IF(A19="","",'01_Employes'!E21)</f>
      </c>
      <c r="D19" s="10"/>
      <c r="E19" s="10"/>
      <c r="F19" s="10"/>
      <c r="G19" s="10"/>
      <c r="H19" s="10"/>
      <c r="I19" s="10"/>
    </row>
    <row r="20" spans="1:9" x14ac:dyDescent="0.25">
      <c r="A20" s="9">
        <f>IF('01_Employes'!A22="","",'01_Employes'!A22)</f>
      </c>
      <c r="B20" s="9">
        <f>IF(A20="","",'01_Employes'!D22)</f>
      </c>
      <c r="C20" s="9">
        <f>IF(A20="","",'01_Employes'!E22)</f>
      </c>
      <c r="D20" s="10"/>
      <c r="E20" s="10"/>
      <c r="F20" s="10"/>
      <c r="G20" s="10"/>
      <c r="H20" s="10"/>
      <c r="I20" s="10"/>
    </row>
    <row r="21" spans="1:9" x14ac:dyDescent="0.25">
      <c r="A21" s="9">
        <f>IF('01_Employes'!A23="","",'01_Employes'!A23)</f>
      </c>
      <c r="B21" s="9">
        <f>IF(A21="","",'01_Employes'!D23)</f>
      </c>
      <c r="C21" s="9">
        <f>IF(A21="","",'01_Employes'!E23)</f>
      </c>
      <c r="D21" s="10"/>
      <c r="E21" s="10"/>
      <c r="F21" s="10"/>
      <c r="G21" s="10"/>
      <c r="H21" s="10"/>
      <c r="I21" s="10"/>
    </row>
    <row r="22" spans="1:9" x14ac:dyDescent="0.25">
      <c r="A22" s="9">
        <f>IF('01_Employes'!A24="","",'01_Employes'!A24)</f>
      </c>
      <c r="B22" s="9">
        <f>IF(A22="","",'01_Employes'!D24)</f>
      </c>
      <c r="C22" s="9">
        <f>IF(A22="","",'01_Employes'!E24)</f>
      </c>
      <c r="D22" s="10"/>
      <c r="E22" s="10"/>
      <c r="F22" s="10"/>
      <c r="G22" s="10"/>
      <c r="H22" s="10"/>
      <c r="I22" s="10"/>
    </row>
    <row r="23" spans="1:9" x14ac:dyDescent="0.25">
      <c r="A23" s="9">
        <f>IF('01_Employes'!A25="","",'01_Employes'!A25)</f>
      </c>
      <c r="B23" s="9">
        <f>IF(A23="","",'01_Employes'!D25)</f>
      </c>
      <c r="C23" s="9">
        <f>IF(A23="","",'01_Employes'!E25)</f>
      </c>
      <c r="D23" s="10"/>
      <c r="E23" s="10"/>
      <c r="F23" s="10"/>
      <c r="G23" s="10"/>
      <c r="H23" s="10"/>
      <c r="I23" s="10"/>
    </row>
    <row r="24" spans="1:9" x14ac:dyDescent="0.25">
      <c r="A24" s="9">
        <f>IF('01_Employes'!A26="","",'01_Employes'!A26)</f>
      </c>
      <c r="B24" s="9">
        <f>IF(A24="","",'01_Employes'!D26)</f>
      </c>
      <c r="C24" s="9">
        <f>IF(A24="","",'01_Employes'!E26)</f>
      </c>
      <c r="D24" s="10"/>
      <c r="E24" s="10"/>
      <c r="F24" s="10"/>
      <c r="G24" s="10"/>
      <c r="H24" s="10"/>
      <c r="I24" s="10"/>
    </row>
    <row r="25" spans="1:9" x14ac:dyDescent="0.25">
      <c r="A25" s="9">
        <f>IF('01_Employes'!A27="","",'01_Employes'!A27)</f>
      </c>
      <c r="B25" s="9">
        <f>IF(A25="","",'01_Employes'!D27)</f>
      </c>
      <c r="C25" s="9">
        <f>IF(A25="","",'01_Employes'!E27)</f>
      </c>
      <c r="D25" s="10"/>
      <c r="E25" s="10"/>
      <c r="F25" s="10"/>
      <c r="G25" s="10"/>
      <c r="H25" s="10"/>
      <c r="I25" s="10"/>
    </row>
    <row r="26" spans="1:9" x14ac:dyDescent="0.25">
      <c r="A26" s="9">
        <f>IF('01_Employes'!A28="","",'01_Employes'!A28)</f>
      </c>
      <c r="B26" s="9">
        <f>IF(A26="","",'01_Employes'!D28)</f>
      </c>
      <c r="C26" s="9">
        <f>IF(A26="","",'01_Employes'!E28)</f>
      </c>
      <c r="D26" s="10"/>
      <c r="E26" s="10"/>
      <c r="F26" s="10"/>
      <c r="G26" s="10"/>
      <c r="H26" s="10"/>
      <c r="I26" s="10"/>
    </row>
    <row r="27" spans="1:9" x14ac:dyDescent="0.25">
      <c r="A27" s="9">
        <f>IF('01_Employes'!A29="","",'01_Employes'!A29)</f>
      </c>
      <c r="B27" s="9">
        <f>IF(A27="","",'01_Employes'!D29)</f>
      </c>
      <c r="C27" s="9">
        <f>IF(A27="","",'01_Employes'!E29)</f>
      </c>
      <c r="D27" s="10"/>
      <c r="E27" s="10"/>
      <c r="F27" s="10"/>
      <c r="G27" s="10"/>
      <c r="H27" s="10"/>
      <c r="I27" s="10"/>
    </row>
    <row r="28" spans="1:9" x14ac:dyDescent="0.25">
      <c r="A28" s="9">
        <f>IF('01_Employes'!A30="","",'01_Employes'!A30)</f>
      </c>
      <c r="B28" s="9">
        <f>IF(A28="","",'01_Employes'!D30)</f>
      </c>
      <c r="C28" s="9">
        <f>IF(A28="","",'01_Employes'!E30)</f>
      </c>
      <c r="D28" s="10"/>
      <c r="E28" s="10"/>
      <c r="F28" s="10"/>
      <c r="G28" s="10"/>
      <c r="H28" s="10"/>
      <c r="I28" s="10"/>
    </row>
  </sheetData>
  <sheetProtection sheet="1" formatCells="0" formatColumns="0" formatRows="0" autoFilter="0" algorithmName="SHA-512" hashValue="x5zKzZCLtDpWqE67vMaxjo0Za7GS2oAPqg7AZinnKZH6SzIx8RxBZriCmW70gciKPZiq1gPcabS8zR+uGqDJcQ==" saltValue="G/FwRfuZPW7A0ZHwYE48fw==" spinCount="100000"/>
  <mergeCells count="1">
    <mergeCell ref="A1:I1"/>
  </mergeCells>
  <dataValidations count="2">
    <dataValidation type="whole" allowBlank="1" errorTitle="Niveau" error="Entier entre 1 et 5." sqref="E10:E28">
      <formula1>1</formula1>
      <formula2>5</formula2>
    </dataValidation>
    <dataValidation type="whole" allowBlank="1" errorTitle="Niveau" error="Entier entre 1 et 5." sqref="E4:E28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0" customWidth="1"/>
    <col min="4" max="9" width="14" customWidth="1"/>
  </cols>
  <sheetData>
    <row r="1" ht="24" customHeight="1" spans="1:9" x14ac:dyDescent="0.25">
      <c r="A1" s="1" t="s">
        <v>291</v>
      </c>
      <c r="B1" s="1"/>
      <c r="C1" s="1"/>
      <c r="D1" s="1"/>
      <c r="E1" s="1"/>
      <c r="F1" s="1"/>
      <c r="G1" s="1"/>
      <c r="H1" s="1"/>
      <c r="I1" s="1"/>
    </row>
    <row r="2" spans="1:2" x14ac:dyDescent="0.25">
      <c r="A2" t="s">
        <v>292</v>
      </c>
      <c r="B2" s="18">
        <v>46251</v>
      </c>
    </row>
    <row r="4" ht="28" customHeight="1" spans="1:9" x14ac:dyDescent="0.25">
      <c r="A4" s="8" t="s">
        <v>145</v>
      </c>
      <c r="B4" s="8" t="s">
        <v>148</v>
      </c>
      <c r="C4" s="8" t="s">
        <v>11</v>
      </c>
      <c r="D4" s="8" t="s">
        <v>61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</row>
    <row r="5" spans="1:9" x14ac:dyDescent="0.25">
      <c r="A5" s="9">
        <f>IF('01_Employes'!A6="","",'01_Employes'!A6)</f>
      </c>
      <c r="B5" s="9">
        <f>IF(A5="","",'01_Employes'!D6)</f>
      </c>
      <c r="C5" s="9">
        <f>IF(A5="","",'01_Employes'!E6)</f>
      </c>
      <c r="D5" s="10"/>
      <c r="E5" s="10"/>
      <c r="F5" s="10"/>
      <c r="G5" s="10"/>
      <c r="H5" s="10"/>
      <c r="I5" s="10"/>
    </row>
    <row r="6" spans="1:9" x14ac:dyDescent="0.25">
      <c r="A6" s="9">
        <f>IF('01_Employes'!A7="","",'01_Employes'!A7)</f>
      </c>
      <c r="B6" s="9">
        <f>IF(A6="","",'01_Employes'!D7)</f>
      </c>
      <c r="C6" s="9">
        <f>IF(A6="","",'01_Employes'!E7)</f>
      </c>
      <c r="D6" s="10"/>
      <c r="E6" s="10"/>
      <c r="F6" s="10"/>
      <c r="G6" s="10"/>
      <c r="H6" s="10"/>
      <c r="I6" s="10"/>
    </row>
    <row r="7" spans="1:9" x14ac:dyDescent="0.25">
      <c r="A7" s="9">
        <f>IF('01_Employes'!A8="","",'01_Employes'!A8)</f>
      </c>
      <c r="B7" s="9">
        <f>IF(A7="","",'01_Employes'!D8)</f>
      </c>
      <c r="C7" s="9">
        <f>IF(A7="","",'01_Employes'!E8)</f>
      </c>
      <c r="D7" s="10"/>
      <c r="E7" s="10"/>
      <c r="F7" s="10"/>
      <c r="G7" s="10"/>
      <c r="H7" s="10"/>
      <c r="I7" s="10"/>
    </row>
    <row r="8" spans="1:9" x14ac:dyDescent="0.25">
      <c r="A8" s="9">
        <f>IF('01_Employes'!A9="","",'01_Employes'!A9)</f>
      </c>
      <c r="B8" s="9">
        <f>IF(A8="","",'01_Employes'!D9)</f>
      </c>
      <c r="C8" s="9">
        <f>IF(A8="","",'01_Employes'!E9)</f>
      </c>
      <c r="D8" s="10"/>
      <c r="E8" s="10"/>
      <c r="F8" s="10"/>
      <c r="G8" s="10"/>
      <c r="H8" s="10"/>
      <c r="I8" s="10"/>
    </row>
    <row r="9" spans="1:9" x14ac:dyDescent="0.25">
      <c r="A9" s="9">
        <f>IF('01_Employes'!A10="","",'01_Employes'!A10)</f>
      </c>
      <c r="B9" s="9">
        <f>IF(A9="","",'01_Employes'!D10)</f>
      </c>
      <c r="C9" s="9">
        <f>IF(A9="","",'01_Employes'!E10)</f>
      </c>
      <c r="D9" s="10"/>
      <c r="E9" s="10"/>
      <c r="F9" s="10"/>
      <c r="G9" s="10"/>
      <c r="H9" s="10"/>
      <c r="I9" s="10"/>
    </row>
    <row r="10" spans="1:9" x14ac:dyDescent="0.25">
      <c r="A10" s="9">
        <f>IF('01_Employes'!A11="","",'01_Employes'!A11)</f>
      </c>
      <c r="B10" s="9">
        <f>IF(A10="","",'01_Employes'!D11)</f>
      </c>
      <c r="C10" s="9">
        <f>IF(A10="","",'01_Employes'!E11)</f>
      </c>
      <c r="D10" s="10"/>
      <c r="E10" s="10"/>
      <c r="F10" s="10"/>
      <c r="G10" s="10"/>
      <c r="H10" s="10"/>
      <c r="I10" s="10"/>
    </row>
    <row r="11" spans="1:9" x14ac:dyDescent="0.25">
      <c r="A11" s="9">
        <f>IF('01_Employes'!A12="","",'01_Employes'!A12)</f>
      </c>
      <c r="B11" s="9">
        <f>IF(A11="","",'01_Employes'!D12)</f>
      </c>
      <c r="C11" s="9">
        <f>IF(A11="","",'01_Employes'!E12)</f>
      </c>
      <c r="D11" s="10"/>
      <c r="E11" s="10"/>
      <c r="F11" s="10"/>
      <c r="G11" s="10"/>
      <c r="H11" s="10"/>
      <c r="I11" s="10"/>
    </row>
    <row r="12" spans="1:9" x14ac:dyDescent="0.25">
      <c r="A12" s="9">
        <f>IF('01_Employes'!A13="","",'01_Employes'!A13)</f>
      </c>
      <c r="B12" s="9">
        <f>IF(A12="","",'01_Employes'!D13)</f>
      </c>
      <c r="C12" s="9">
        <f>IF(A12="","",'01_Employes'!E13)</f>
      </c>
      <c r="D12" s="10"/>
      <c r="E12" s="10"/>
      <c r="F12" s="10"/>
      <c r="G12" s="10"/>
      <c r="H12" s="10"/>
      <c r="I12" s="10"/>
    </row>
    <row r="13" spans="1:9" x14ac:dyDescent="0.25">
      <c r="A13" s="9">
        <f>IF('01_Employes'!A14="","",'01_Employes'!A14)</f>
      </c>
      <c r="B13" s="9">
        <f>IF(A13="","",'01_Employes'!D14)</f>
      </c>
      <c r="C13" s="9">
        <f>IF(A13="","",'01_Employes'!E14)</f>
      </c>
      <c r="D13" s="10"/>
      <c r="E13" s="10"/>
      <c r="F13" s="10"/>
      <c r="G13" s="10"/>
      <c r="H13" s="10"/>
      <c r="I13" s="10"/>
    </row>
    <row r="14" spans="1:9" x14ac:dyDescent="0.25">
      <c r="A14" s="9">
        <f>IF('01_Employes'!A15="","",'01_Employes'!A15)</f>
      </c>
      <c r="B14" s="9">
        <f>IF(A14="","",'01_Employes'!D15)</f>
      </c>
      <c r="C14" s="9">
        <f>IF(A14="","",'01_Employes'!E15)</f>
      </c>
      <c r="D14" s="10"/>
      <c r="E14" s="10"/>
      <c r="F14" s="10"/>
      <c r="G14" s="10"/>
      <c r="H14" s="10"/>
      <c r="I14" s="10"/>
    </row>
    <row r="15" spans="1:9" x14ac:dyDescent="0.25">
      <c r="A15" s="9">
        <f>IF('01_Employes'!A16="","",'01_Employes'!A16)</f>
      </c>
      <c r="B15" s="9">
        <f>IF(A15="","",'01_Employes'!D16)</f>
      </c>
      <c r="C15" s="9">
        <f>IF(A15="","",'01_Employes'!E16)</f>
      </c>
      <c r="D15" s="10"/>
      <c r="E15" s="10"/>
      <c r="F15" s="10"/>
      <c r="G15" s="10"/>
      <c r="H15" s="10"/>
      <c r="I15" s="10"/>
    </row>
    <row r="16" spans="1:9" x14ac:dyDescent="0.25">
      <c r="A16" s="9">
        <f>IF('01_Employes'!A17="","",'01_Employes'!A17)</f>
      </c>
      <c r="B16" s="9">
        <f>IF(A16="","",'01_Employes'!D17)</f>
      </c>
      <c r="C16" s="9">
        <f>IF(A16="","",'01_Employes'!E17)</f>
      </c>
      <c r="D16" s="10"/>
      <c r="E16" s="10"/>
      <c r="F16" s="10"/>
      <c r="G16" s="10"/>
      <c r="H16" s="10"/>
      <c r="I16" s="10"/>
    </row>
    <row r="17" spans="1:9" x14ac:dyDescent="0.25">
      <c r="A17" s="9">
        <f>IF('01_Employes'!A18="","",'01_Employes'!A18)</f>
      </c>
      <c r="B17" s="9">
        <f>IF(A17="","",'01_Employes'!D18)</f>
      </c>
      <c r="C17" s="9">
        <f>IF(A17="","",'01_Employes'!E18)</f>
      </c>
      <c r="D17" s="10"/>
      <c r="E17" s="10"/>
      <c r="F17" s="10"/>
      <c r="G17" s="10"/>
      <c r="H17" s="10"/>
      <c r="I17" s="10"/>
    </row>
    <row r="18" spans="1:9" x14ac:dyDescent="0.25">
      <c r="A18" s="9">
        <f>IF('01_Employes'!A19="","",'01_Employes'!A19)</f>
      </c>
      <c r="B18" s="9">
        <f>IF(A18="","",'01_Employes'!D19)</f>
      </c>
      <c r="C18" s="9">
        <f>IF(A18="","",'01_Employes'!E19)</f>
      </c>
      <c r="D18" s="10"/>
      <c r="E18" s="10"/>
      <c r="F18" s="10"/>
      <c r="G18" s="10"/>
      <c r="H18" s="10"/>
      <c r="I18" s="10"/>
    </row>
    <row r="19" spans="1:9" x14ac:dyDescent="0.25">
      <c r="A19" s="9">
        <f>IF('01_Employes'!A20="","",'01_Employes'!A20)</f>
      </c>
      <c r="B19" s="9">
        <f>IF(A19="","",'01_Employes'!D20)</f>
      </c>
      <c r="C19" s="9">
        <f>IF(A19="","",'01_Employes'!E20)</f>
      </c>
      <c r="D19" s="10"/>
      <c r="E19" s="10"/>
      <c r="F19" s="10"/>
      <c r="G19" s="10"/>
      <c r="H19" s="10"/>
      <c r="I19" s="10"/>
    </row>
    <row r="20" spans="1:9" x14ac:dyDescent="0.25">
      <c r="A20" s="9">
        <f>IF('01_Employes'!A21="","",'01_Employes'!A21)</f>
      </c>
      <c r="B20" s="9">
        <f>IF(A20="","",'01_Employes'!D21)</f>
      </c>
      <c r="C20" s="9">
        <f>IF(A20="","",'01_Employes'!E21)</f>
      </c>
      <c r="D20" s="10"/>
      <c r="E20" s="10"/>
      <c r="F20" s="10"/>
      <c r="G20" s="10"/>
      <c r="H20" s="10"/>
      <c r="I20" s="10"/>
    </row>
    <row r="21" spans="1:9" x14ac:dyDescent="0.25">
      <c r="A21" s="9">
        <f>IF('01_Employes'!A22="","",'01_Employes'!A22)</f>
      </c>
      <c r="B21" s="9">
        <f>IF(A21="","",'01_Employes'!D22)</f>
      </c>
      <c r="C21" s="9">
        <f>IF(A21="","",'01_Employes'!E22)</f>
      </c>
      <c r="D21" s="10"/>
      <c r="E21" s="10"/>
      <c r="F21" s="10"/>
      <c r="G21" s="10"/>
      <c r="H21" s="10"/>
      <c r="I21" s="10"/>
    </row>
    <row r="22" spans="1:9" x14ac:dyDescent="0.25">
      <c r="A22" s="9">
        <f>IF('01_Employes'!A23="","",'01_Employes'!A23)</f>
      </c>
      <c r="B22" s="9">
        <f>IF(A22="","",'01_Employes'!D23)</f>
      </c>
      <c r="C22" s="9">
        <f>IF(A22="","",'01_Employes'!E23)</f>
      </c>
      <c r="D22" s="10"/>
      <c r="E22" s="10"/>
      <c r="F22" s="10"/>
      <c r="G22" s="10"/>
      <c r="H22" s="10"/>
      <c r="I22" s="10"/>
    </row>
    <row r="23" spans="1:9" x14ac:dyDescent="0.25">
      <c r="A23" s="9">
        <f>IF('01_Employes'!A24="","",'01_Employes'!A24)</f>
      </c>
      <c r="B23" s="9">
        <f>IF(A23="","",'01_Employes'!D24)</f>
      </c>
      <c r="C23" s="9">
        <f>IF(A23="","",'01_Employes'!E24)</f>
      </c>
      <c r="D23" s="10"/>
      <c r="E23" s="10"/>
      <c r="F23" s="10"/>
      <c r="G23" s="10"/>
      <c r="H23" s="10"/>
      <c r="I23" s="10"/>
    </row>
    <row r="24" spans="1:9" x14ac:dyDescent="0.25">
      <c r="A24" s="9">
        <f>IF('01_Employes'!A25="","",'01_Employes'!A25)</f>
      </c>
      <c r="B24" s="9">
        <f>IF(A24="","",'01_Employes'!D25)</f>
      </c>
      <c r="C24" s="9">
        <f>IF(A24="","",'01_Employes'!E25)</f>
      </c>
      <c r="D24" s="10"/>
      <c r="E24" s="10"/>
      <c r="F24" s="10"/>
      <c r="G24" s="10"/>
      <c r="H24" s="10"/>
      <c r="I24" s="10"/>
    </row>
    <row r="25" spans="1:9" x14ac:dyDescent="0.25">
      <c r="A25" s="9">
        <f>IF('01_Employes'!A26="","",'01_Employes'!A26)</f>
      </c>
      <c r="B25" s="9">
        <f>IF(A25="","",'01_Employes'!D26)</f>
      </c>
      <c r="C25" s="9">
        <f>IF(A25="","",'01_Employes'!E26)</f>
      </c>
      <c r="D25" s="10"/>
      <c r="E25" s="10"/>
      <c r="F25" s="10"/>
      <c r="G25" s="10"/>
      <c r="H25" s="10"/>
      <c r="I25" s="10"/>
    </row>
    <row r="26" spans="1:9" x14ac:dyDescent="0.25">
      <c r="A26" s="9">
        <f>IF('01_Employes'!A27="","",'01_Employes'!A27)</f>
      </c>
      <c r="B26" s="9">
        <f>IF(A26="","",'01_Employes'!D27)</f>
      </c>
      <c r="C26" s="9">
        <f>IF(A26="","",'01_Employes'!E27)</f>
      </c>
      <c r="D26" s="10"/>
      <c r="E26" s="10"/>
      <c r="F26" s="10"/>
      <c r="G26" s="10"/>
      <c r="H26" s="10"/>
      <c r="I26" s="10"/>
    </row>
    <row r="27" spans="1:9" x14ac:dyDescent="0.25">
      <c r="A27" s="9">
        <f>IF('01_Employes'!A28="","",'01_Employes'!A28)</f>
      </c>
      <c r="B27" s="9">
        <f>IF(A27="","",'01_Employes'!D28)</f>
      </c>
      <c r="C27" s="9">
        <f>IF(A27="","",'01_Employes'!E28)</f>
      </c>
      <c r="D27" s="10"/>
      <c r="E27" s="10"/>
      <c r="F27" s="10"/>
      <c r="G27" s="10"/>
      <c r="H27" s="10"/>
      <c r="I27" s="10"/>
    </row>
    <row r="28" spans="1:9" x14ac:dyDescent="0.25">
      <c r="A28" s="9">
        <f>IF('01_Employes'!A29="","",'01_Employes'!A29)</f>
      </c>
      <c r="B28" s="9">
        <f>IF(A28="","",'01_Employes'!D29)</f>
      </c>
      <c r="C28" s="9">
        <f>IF(A28="","",'01_Employes'!E29)</f>
      </c>
      <c r="D28" s="10"/>
      <c r="E28" s="10"/>
      <c r="F28" s="10"/>
      <c r="G28" s="10"/>
      <c r="H28" s="10"/>
      <c r="I28" s="10"/>
    </row>
    <row r="29" spans="1:9" x14ac:dyDescent="0.25">
      <c r="A29" s="9">
        <f>IF('01_Employes'!A30="","",'01_Employes'!A30)</f>
      </c>
      <c r="B29" s="9">
        <f>IF(A29="","",'01_Employes'!D30)</f>
      </c>
      <c r="C29" s="9">
        <f>IF(A29="","",'01_Employes'!E30)</f>
      </c>
      <c r="D29" s="10"/>
      <c r="E29" s="10"/>
      <c r="F29" s="10"/>
      <c r="G29" s="10"/>
      <c r="H29" s="10"/>
      <c r="I29" s="10"/>
    </row>
    <row r="31" spans="1:1" x14ac:dyDescent="0.25">
      <c r="A31" s="2" t="s">
        <v>293</v>
      </c>
    </row>
  </sheetData>
  <sheetProtection sheet="1" formatCells="0" formatColumns="0" formatRows="0" autoFilter="0" algorithmName="SHA-512" hashValue="E+B3g0o1z/H1tep4JkX2uhovwWb25dVQ7gr/GFaUolWwHhxRllPHWkwJ1zx2OG02MWWLsEouXxfsgcVZeI7tcA==" saltValue="+WLrtlVJMWwBlpt2ns7qsw==" spinCount="100000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1" customWidth="1"/>
    <col min="4" max="4" width="26" customWidth="1"/>
    <col min="5" max="5" width="16" customWidth="1"/>
    <col min="6" max="6" width="34" customWidth="1"/>
    <col min="7" max="7" width="12" customWidth="1"/>
    <col min="8" max="8" width="24" customWidth="1"/>
    <col min="9" max="9" width="20" customWidth="1"/>
  </cols>
  <sheetData>
    <row r="1" ht="24" customHeight="1" spans="1:9" x14ac:dyDescent="0.25">
      <c r="A1" s="1" t="s">
        <v>294</v>
      </c>
      <c r="B1" s="1"/>
      <c r="C1" s="1"/>
      <c r="D1" s="1"/>
      <c r="E1" s="1"/>
      <c r="F1" s="1"/>
      <c r="G1" s="1"/>
      <c r="H1" s="1"/>
      <c r="I1" s="1"/>
    </row>
    <row r="3" ht="28" customHeight="1" spans="1:9" x14ac:dyDescent="0.25">
      <c r="A3" s="8" t="s">
        <v>269</v>
      </c>
      <c r="B3" s="8" t="s">
        <v>221</v>
      </c>
      <c r="C3" s="8" t="s">
        <v>222</v>
      </c>
      <c r="D3" s="8" t="s">
        <v>148</v>
      </c>
      <c r="E3" s="8" t="s">
        <v>295</v>
      </c>
      <c r="F3" s="8" t="s">
        <v>296</v>
      </c>
      <c r="G3" s="8" t="s">
        <v>297</v>
      </c>
      <c r="H3" s="8" t="s">
        <v>298</v>
      </c>
      <c r="I3" s="8" t="s">
        <v>277</v>
      </c>
    </row>
    <row r="4" spans="1:9" x14ac:dyDescent="0.25">
      <c r="A4" s="18">
        <v>1</v>
      </c>
      <c r="B4" s="18"/>
      <c r="C4" s="18"/>
      <c r="D4" s="9">
        <f>IF(C4="","",IFERROR(VLOOKUP(C4,'01_Employes'!$A$6:$Q$30,4,FALSE),"⚠ inconnu"))</f>
      </c>
      <c r="E4" s="10"/>
      <c r="F4" s="10"/>
      <c r="G4" s="10"/>
      <c r="H4" s="10"/>
      <c r="I4" s="10"/>
    </row>
    <row r="5" spans="1:9" x14ac:dyDescent="0.25">
      <c r="A5" s="18">
        <v>2</v>
      </c>
      <c r="B5" s="18"/>
      <c r="C5" s="18"/>
      <c r="D5" s="9">
        <f>IF(C5="","",IFERROR(VLOOKUP(C5,'01_Employes'!$A$6:$Q$30,4,FALSE),"⚠ inconnu"))</f>
      </c>
      <c r="E5" s="10"/>
      <c r="F5" s="10"/>
      <c r="G5" s="10"/>
      <c r="H5" s="10"/>
      <c r="I5" s="10"/>
    </row>
    <row r="6" spans="1:9" x14ac:dyDescent="0.25">
      <c r="A6" s="18">
        <v>3</v>
      </c>
      <c r="B6" s="18"/>
      <c r="C6" s="18"/>
      <c r="D6" s="9">
        <f>IF(C6="","",IFERROR(VLOOKUP(C6,'01_Employes'!$A$6:$Q$30,4,FALSE),"⚠ inconnu"))</f>
      </c>
      <c r="E6" s="10"/>
      <c r="F6" s="10"/>
      <c r="G6" s="10"/>
      <c r="H6" s="10"/>
      <c r="I6" s="10"/>
    </row>
    <row r="7" spans="1:9" x14ac:dyDescent="0.25">
      <c r="A7" s="18">
        <v>4</v>
      </c>
      <c r="B7" s="18"/>
      <c r="C7" s="18"/>
      <c r="D7" s="9">
        <f>IF(C7="","",IFERROR(VLOOKUP(C7,'01_Employes'!$A$6:$Q$30,4,FALSE),"⚠ inconnu"))</f>
      </c>
      <c r="E7" s="10"/>
      <c r="F7" s="10"/>
      <c r="G7" s="10"/>
      <c r="H7" s="10"/>
      <c r="I7" s="10"/>
    </row>
    <row r="8" spans="1:9" x14ac:dyDescent="0.25">
      <c r="A8" s="18">
        <v>5</v>
      </c>
      <c r="B8" s="18"/>
      <c r="C8" s="18"/>
      <c r="D8" s="9">
        <f>IF(C8="","",IFERROR(VLOOKUP(C8,'01_Employes'!$A$6:$Q$30,4,FALSE),"⚠ inconnu"))</f>
      </c>
      <c r="E8" s="10"/>
      <c r="F8" s="10"/>
      <c r="G8" s="10"/>
      <c r="H8" s="10"/>
      <c r="I8" s="10"/>
    </row>
    <row r="9" spans="1:9" x14ac:dyDescent="0.25">
      <c r="A9" s="18">
        <v>6</v>
      </c>
      <c r="B9" s="18"/>
      <c r="C9" s="18"/>
      <c r="D9" s="9">
        <f>IF(C9="","",IFERROR(VLOOKUP(C9,'01_Employes'!$A$6:$Q$30,4,FALSE),"⚠ inconnu"))</f>
      </c>
      <c r="E9" s="10"/>
      <c r="F9" s="10"/>
      <c r="G9" s="10"/>
      <c r="H9" s="10"/>
      <c r="I9" s="10"/>
    </row>
    <row r="10" spans="1:9" x14ac:dyDescent="0.25">
      <c r="A10" s="18">
        <v>7</v>
      </c>
      <c r="B10" s="18"/>
      <c r="C10" s="18"/>
      <c r="D10" s="9">
        <f>IF(C10="","",IFERROR(VLOOKUP(C10,'01_Employes'!$A$6:$Q$30,4,FALSE),"⚠ inconnu"))</f>
      </c>
      <c r="E10" s="10"/>
      <c r="F10" s="10"/>
      <c r="G10" s="10"/>
      <c r="H10" s="10"/>
      <c r="I10" s="10"/>
    </row>
    <row r="11" spans="1:9" x14ac:dyDescent="0.25">
      <c r="A11" s="18">
        <v>8</v>
      </c>
      <c r="B11" s="18"/>
      <c r="C11" s="18"/>
      <c r="D11" s="9">
        <f>IF(C11="","",IFERROR(VLOOKUP(C11,'01_Employes'!$A$6:$Q$30,4,FALSE),"⚠ inconnu"))</f>
      </c>
      <c r="E11" s="10"/>
      <c r="F11" s="10"/>
      <c r="G11" s="10"/>
      <c r="H11" s="10"/>
      <c r="I11" s="10"/>
    </row>
    <row r="12" spans="1:9" x14ac:dyDescent="0.25">
      <c r="A12" s="18">
        <v>9</v>
      </c>
      <c r="B12" s="18"/>
      <c r="C12" s="18"/>
      <c r="D12" s="9">
        <f>IF(C12="","",IFERROR(VLOOKUP(C12,'01_Employes'!$A$6:$Q$30,4,FALSE),"⚠ inconnu"))</f>
      </c>
      <c r="E12" s="10"/>
      <c r="F12" s="10"/>
      <c r="G12" s="10"/>
      <c r="H12" s="10"/>
      <c r="I12" s="10"/>
    </row>
    <row r="13" spans="1:9" x14ac:dyDescent="0.25">
      <c r="A13" s="18">
        <v>10</v>
      </c>
      <c r="B13" s="18"/>
      <c r="C13" s="18"/>
      <c r="D13" s="9">
        <f>IF(C13="","",IFERROR(VLOOKUP(C13,'01_Employes'!$A$6:$Q$30,4,FALSE),"⚠ inconnu"))</f>
      </c>
      <c r="E13" s="10"/>
      <c r="F13" s="10"/>
      <c r="G13" s="10"/>
      <c r="H13" s="10"/>
      <c r="I13" s="10"/>
    </row>
    <row r="14" spans="1:9" x14ac:dyDescent="0.25">
      <c r="A14" s="18">
        <v>11</v>
      </c>
      <c r="B14" s="18"/>
      <c r="C14" s="18"/>
      <c r="D14" s="9">
        <f>IF(C14="","",IFERROR(VLOOKUP(C14,'01_Employes'!$A$6:$Q$30,4,FALSE),"⚠ inconnu"))</f>
      </c>
      <c r="E14" s="10"/>
      <c r="F14" s="10"/>
      <c r="G14" s="10"/>
      <c r="H14" s="10"/>
      <c r="I14" s="10"/>
    </row>
    <row r="15" spans="1:9" x14ac:dyDescent="0.25">
      <c r="A15" s="18">
        <v>12</v>
      </c>
      <c r="B15" s="18"/>
      <c r="C15" s="18"/>
      <c r="D15" s="9">
        <f>IF(C15="","",IFERROR(VLOOKUP(C15,'01_Employes'!$A$6:$Q$30,4,FALSE),"⚠ inconnu"))</f>
      </c>
      <c r="E15" s="10"/>
      <c r="F15" s="10"/>
      <c r="G15" s="10"/>
      <c r="H15" s="10"/>
      <c r="I15" s="10"/>
    </row>
    <row r="16" spans="1:9" x14ac:dyDescent="0.25">
      <c r="A16" s="18">
        <v>13</v>
      </c>
      <c r="B16" s="18"/>
      <c r="C16" s="18"/>
      <c r="D16" s="9">
        <f>IF(C16="","",IFERROR(VLOOKUP(C16,'01_Employes'!$A$6:$Q$30,4,FALSE),"⚠ inconnu"))</f>
      </c>
      <c r="E16" s="10"/>
      <c r="F16" s="10"/>
      <c r="G16" s="10"/>
      <c r="H16" s="10"/>
      <c r="I16" s="10"/>
    </row>
    <row r="17" spans="1:9" x14ac:dyDescent="0.25">
      <c r="A17" s="18">
        <v>14</v>
      </c>
      <c r="B17" s="18"/>
      <c r="C17" s="18"/>
      <c r="D17" s="9">
        <f>IF(C17="","",IFERROR(VLOOKUP(C17,'01_Employes'!$A$6:$Q$30,4,FALSE),"⚠ inconnu"))</f>
      </c>
      <c r="E17" s="10"/>
      <c r="F17" s="10"/>
      <c r="G17" s="10"/>
      <c r="H17" s="10"/>
      <c r="I17" s="10"/>
    </row>
    <row r="18" spans="1:9" x14ac:dyDescent="0.25">
      <c r="A18" s="18">
        <v>15</v>
      </c>
      <c r="B18" s="18"/>
      <c r="C18" s="18"/>
      <c r="D18" s="9">
        <f>IF(C18="","",IFERROR(VLOOKUP(C18,'01_Employes'!$A$6:$Q$30,4,FALSE),"⚠ inconnu"))</f>
      </c>
      <c r="E18" s="10"/>
      <c r="F18" s="10"/>
      <c r="G18" s="10"/>
      <c r="H18" s="10"/>
      <c r="I18" s="10"/>
    </row>
    <row r="19" spans="1:9" x14ac:dyDescent="0.25">
      <c r="A19" s="18">
        <v>16</v>
      </c>
      <c r="B19" s="18"/>
      <c r="C19" s="18"/>
      <c r="D19" s="9">
        <f>IF(C19="","",IFERROR(VLOOKUP(C19,'01_Employes'!$A$6:$Q$30,4,FALSE),"⚠ inconnu"))</f>
      </c>
      <c r="E19" s="10"/>
      <c r="F19" s="10"/>
      <c r="G19" s="10"/>
      <c r="H19" s="10"/>
      <c r="I19" s="10"/>
    </row>
    <row r="20" spans="1:9" x14ac:dyDescent="0.25">
      <c r="A20" s="18">
        <v>17</v>
      </c>
      <c r="B20" s="18"/>
      <c r="C20" s="18"/>
      <c r="D20" s="9">
        <f>IF(C20="","",IFERROR(VLOOKUP(C20,'01_Employes'!$A$6:$Q$30,4,FALSE),"⚠ inconnu"))</f>
      </c>
      <c r="E20" s="10"/>
      <c r="F20" s="10"/>
      <c r="G20" s="10"/>
      <c r="H20" s="10"/>
      <c r="I20" s="10"/>
    </row>
    <row r="21" spans="1:9" x14ac:dyDescent="0.25">
      <c r="A21" s="18">
        <v>18</v>
      </c>
      <c r="B21" s="18"/>
      <c r="C21" s="18"/>
      <c r="D21" s="9">
        <f>IF(C21="","",IFERROR(VLOOKUP(C21,'01_Employes'!$A$6:$Q$30,4,FALSE),"⚠ inconnu"))</f>
      </c>
      <c r="E21" s="10"/>
      <c r="F21" s="10"/>
      <c r="G21" s="10"/>
      <c r="H21" s="10"/>
      <c r="I21" s="10"/>
    </row>
    <row r="22" spans="1:9" x14ac:dyDescent="0.25">
      <c r="A22" s="18">
        <v>19</v>
      </c>
      <c r="B22" s="18"/>
      <c r="C22" s="18"/>
      <c r="D22" s="9">
        <f>IF(C22="","",IFERROR(VLOOKUP(C22,'01_Employes'!$A$6:$Q$30,4,FALSE),"⚠ inconnu"))</f>
      </c>
      <c r="E22" s="10"/>
      <c r="F22" s="10"/>
      <c r="G22" s="10"/>
      <c r="H22" s="10"/>
      <c r="I22" s="10"/>
    </row>
    <row r="23" spans="1:9" x14ac:dyDescent="0.25">
      <c r="A23" s="18">
        <v>20</v>
      </c>
      <c r="B23" s="18"/>
      <c r="C23" s="18"/>
      <c r="D23" s="9">
        <f>IF(C23="","",IFERROR(VLOOKUP(C23,'01_Employes'!$A$6:$Q$30,4,FALSE),"⚠ inconnu"))</f>
      </c>
      <c r="E23" s="10"/>
      <c r="F23" s="10"/>
      <c r="G23" s="10"/>
      <c r="H23" s="10"/>
      <c r="I23" s="10"/>
    </row>
    <row r="24" spans="1:9" x14ac:dyDescent="0.25">
      <c r="A24" s="18">
        <v>21</v>
      </c>
      <c r="B24" s="18"/>
      <c r="C24" s="18"/>
      <c r="D24" s="9">
        <f>IF(C24="","",IFERROR(VLOOKUP(C24,'01_Employes'!$A$6:$Q$30,4,FALSE),"⚠ inconnu"))</f>
      </c>
      <c r="E24" s="10"/>
      <c r="F24" s="10"/>
      <c r="G24" s="10"/>
      <c r="H24" s="10"/>
      <c r="I24" s="10"/>
    </row>
    <row r="25" spans="1:9" x14ac:dyDescent="0.25">
      <c r="A25" s="18">
        <v>22</v>
      </c>
      <c r="B25" s="18"/>
      <c r="C25" s="18"/>
      <c r="D25" s="9">
        <f>IF(C25="","",IFERROR(VLOOKUP(C25,'01_Employes'!$A$6:$Q$30,4,FALSE),"⚠ inconnu"))</f>
      </c>
      <c r="E25" s="10"/>
      <c r="F25" s="10"/>
      <c r="G25" s="10"/>
      <c r="H25" s="10"/>
      <c r="I25" s="10"/>
    </row>
    <row r="26" spans="1:9" x14ac:dyDescent="0.25">
      <c r="A26" s="18">
        <v>23</v>
      </c>
      <c r="B26" s="18"/>
      <c r="C26" s="18"/>
      <c r="D26" s="9">
        <f>IF(C26="","",IFERROR(VLOOKUP(C26,'01_Employes'!$A$6:$Q$30,4,FALSE),"⚠ inconnu"))</f>
      </c>
      <c r="E26" s="10"/>
      <c r="F26" s="10"/>
      <c r="G26" s="10"/>
      <c r="H26" s="10"/>
      <c r="I26" s="10"/>
    </row>
    <row r="27" spans="1:9" x14ac:dyDescent="0.25">
      <c r="A27" s="18">
        <v>24</v>
      </c>
      <c r="B27" s="18"/>
      <c r="C27" s="18"/>
      <c r="D27" s="9">
        <f>IF(C27="","",IFERROR(VLOOKUP(C27,'01_Employes'!$A$6:$Q$30,4,FALSE),"⚠ inconnu"))</f>
      </c>
      <c r="E27" s="10"/>
      <c r="F27" s="10"/>
      <c r="G27" s="10"/>
      <c r="H27" s="10"/>
      <c r="I27" s="10"/>
    </row>
    <row r="28" spans="1:9" x14ac:dyDescent="0.25">
      <c r="A28" s="18">
        <v>25</v>
      </c>
      <c r="B28" s="18"/>
      <c r="C28" s="18"/>
      <c r="D28" s="9">
        <f>IF(C28="","",IFERROR(VLOOKUP(C28,'01_Employes'!$A$6:$Q$30,4,FALSE),"⚠ inconnu"))</f>
      </c>
      <c r="E28" s="10"/>
      <c r="F28" s="10"/>
      <c r="G28" s="10"/>
      <c r="H28" s="10"/>
      <c r="I28" s="10"/>
    </row>
    <row r="29" spans="1:9" x14ac:dyDescent="0.25">
      <c r="A29" s="18">
        <v>26</v>
      </c>
      <c r="B29" s="18"/>
      <c r="C29" s="18"/>
      <c r="D29" s="9">
        <f>IF(C29="","",IFERROR(VLOOKUP(C29,'01_Employes'!$A$6:$Q$30,4,FALSE),"⚠ inconnu"))</f>
      </c>
      <c r="E29" s="10"/>
      <c r="F29" s="10"/>
      <c r="G29" s="10"/>
      <c r="H29" s="10"/>
      <c r="I29" s="10"/>
    </row>
    <row r="30" spans="1:9" x14ac:dyDescent="0.25">
      <c r="A30" s="18">
        <v>27</v>
      </c>
      <c r="B30" s="18"/>
      <c r="C30" s="18"/>
      <c r="D30" s="9">
        <f>IF(C30="","",IFERROR(VLOOKUP(C30,'01_Employes'!$A$6:$Q$30,4,FALSE),"⚠ inconnu"))</f>
      </c>
      <c r="E30" s="10"/>
      <c r="F30" s="10"/>
      <c r="G30" s="10"/>
      <c r="H30" s="10"/>
      <c r="I30" s="10"/>
    </row>
    <row r="31" spans="1:9" x14ac:dyDescent="0.25">
      <c r="A31" s="18">
        <v>28</v>
      </c>
      <c r="B31" s="18"/>
      <c r="C31" s="18"/>
      <c r="D31" s="9">
        <f>IF(C31="","",IFERROR(VLOOKUP(C31,'01_Employes'!$A$6:$Q$30,4,FALSE),"⚠ inconnu"))</f>
      </c>
      <c r="E31" s="10"/>
      <c r="F31" s="10"/>
      <c r="G31" s="10"/>
      <c r="H31" s="10"/>
      <c r="I31" s="10"/>
    </row>
    <row r="32" spans="1:9" x14ac:dyDescent="0.25">
      <c r="A32" s="18">
        <v>29</v>
      </c>
      <c r="B32" s="18"/>
      <c r="C32" s="18"/>
      <c r="D32" s="9">
        <f>IF(C32="","",IFERROR(VLOOKUP(C32,'01_Employes'!$A$6:$Q$30,4,FALSE),"⚠ inconnu"))</f>
      </c>
      <c r="E32" s="10"/>
      <c r="F32" s="10"/>
      <c r="G32" s="10"/>
      <c r="H32" s="10"/>
      <c r="I32" s="10"/>
    </row>
    <row r="33" spans="1:9" x14ac:dyDescent="0.25">
      <c r="A33" s="18">
        <v>30</v>
      </c>
      <c r="B33" s="18"/>
      <c r="C33" s="18"/>
      <c r="D33" s="9">
        <f>IF(C33="","",IFERROR(VLOOKUP(C33,'01_Employes'!$A$6:$Q$30,4,FALSE),"⚠ inconnu"))</f>
      </c>
      <c r="E33" s="10"/>
      <c r="F33" s="10"/>
      <c r="G33" s="10"/>
      <c r="H33" s="10"/>
      <c r="I33" s="10"/>
    </row>
    <row r="34" spans="1:9" x14ac:dyDescent="0.25">
      <c r="A34" s="18">
        <v>31</v>
      </c>
      <c r="B34" s="18"/>
      <c r="C34" s="18"/>
      <c r="D34" s="9">
        <f>IF(C34="","",IFERROR(VLOOKUP(C34,'01_Employes'!$A$6:$Q$30,4,FALSE),"⚠ inconnu"))</f>
      </c>
      <c r="E34" s="10"/>
      <c r="F34" s="10"/>
      <c r="G34" s="10"/>
      <c r="H34" s="10"/>
      <c r="I34" s="10"/>
    </row>
    <row r="35" spans="1:9" x14ac:dyDescent="0.25">
      <c r="A35" s="18">
        <v>32</v>
      </c>
      <c r="B35" s="18"/>
      <c r="C35" s="18"/>
      <c r="D35" s="9">
        <f>IF(C35="","",IFERROR(VLOOKUP(C35,'01_Employes'!$A$6:$Q$30,4,FALSE),"⚠ inconnu"))</f>
      </c>
      <c r="E35" s="10"/>
      <c r="F35" s="10"/>
      <c r="G35" s="10"/>
      <c r="H35" s="10"/>
      <c r="I35" s="10"/>
    </row>
    <row r="36" spans="1:9" x14ac:dyDescent="0.25">
      <c r="A36" s="18">
        <v>33</v>
      </c>
      <c r="B36" s="18"/>
      <c r="C36" s="18"/>
      <c r="D36" s="9">
        <f>IF(C36="","",IFERROR(VLOOKUP(C36,'01_Employes'!$A$6:$Q$30,4,FALSE),"⚠ inconnu"))</f>
      </c>
      <c r="E36" s="10"/>
      <c r="F36" s="10"/>
      <c r="G36" s="10"/>
      <c r="H36" s="10"/>
      <c r="I36" s="10"/>
    </row>
    <row r="37" spans="1:9" x14ac:dyDescent="0.25">
      <c r="A37" s="18">
        <v>34</v>
      </c>
      <c r="B37" s="18"/>
      <c r="C37" s="18"/>
      <c r="D37" s="9">
        <f>IF(C37="","",IFERROR(VLOOKUP(C37,'01_Employes'!$A$6:$Q$30,4,FALSE),"⚠ inconnu"))</f>
      </c>
      <c r="E37" s="10"/>
      <c r="F37" s="10"/>
      <c r="G37" s="10"/>
      <c r="H37" s="10"/>
      <c r="I37" s="10"/>
    </row>
    <row r="38" spans="1:9" x14ac:dyDescent="0.25">
      <c r="A38" s="18">
        <v>35</v>
      </c>
      <c r="B38" s="18"/>
      <c r="C38" s="18"/>
      <c r="D38" s="9">
        <f>IF(C38="","",IFERROR(VLOOKUP(C38,'01_Employes'!$A$6:$Q$30,4,FALSE),"⚠ inconnu"))</f>
      </c>
      <c r="E38" s="10"/>
      <c r="F38" s="10"/>
      <c r="G38" s="10"/>
      <c r="H38" s="10"/>
      <c r="I38" s="10"/>
    </row>
    <row r="39" spans="1:9" x14ac:dyDescent="0.25">
      <c r="A39" s="18">
        <v>36</v>
      </c>
      <c r="B39" s="18"/>
      <c r="C39" s="18"/>
      <c r="D39" s="9">
        <f>IF(C39="","",IFERROR(VLOOKUP(C39,'01_Employes'!$A$6:$Q$30,4,FALSE),"⚠ inconnu"))</f>
      </c>
      <c r="E39" s="10"/>
      <c r="F39" s="10"/>
      <c r="G39" s="10"/>
      <c r="H39" s="10"/>
      <c r="I39" s="10"/>
    </row>
    <row r="40" spans="1:9" x14ac:dyDescent="0.25">
      <c r="A40" s="18">
        <v>37</v>
      </c>
      <c r="B40" s="18"/>
      <c r="C40" s="18"/>
      <c r="D40" s="9">
        <f>IF(C40="","",IFERROR(VLOOKUP(C40,'01_Employes'!$A$6:$Q$30,4,FALSE),"⚠ inconnu"))</f>
      </c>
      <c r="E40" s="10"/>
      <c r="F40" s="10"/>
      <c r="G40" s="10"/>
      <c r="H40" s="10"/>
      <c r="I40" s="10"/>
    </row>
    <row r="41" spans="1:9" x14ac:dyDescent="0.25">
      <c r="A41" s="18">
        <v>38</v>
      </c>
      <c r="B41" s="18"/>
      <c r="C41" s="18"/>
      <c r="D41" s="9">
        <f>IF(C41="","",IFERROR(VLOOKUP(C41,'01_Employes'!$A$6:$Q$30,4,FALSE),"⚠ inconnu"))</f>
      </c>
      <c r="E41" s="10"/>
      <c r="F41" s="10"/>
      <c r="G41" s="10"/>
      <c r="H41" s="10"/>
      <c r="I41" s="10"/>
    </row>
    <row r="42" spans="1:9" x14ac:dyDescent="0.25">
      <c r="A42" s="18">
        <v>39</v>
      </c>
      <c r="B42" s="18"/>
      <c r="C42" s="18"/>
      <c r="D42" s="9">
        <f>IF(C42="","",IFERROR(VLOOKUP(C42,'01_Employes'!$A$6:$Q$30,4,FALSE),"⚠ inconnu"))</f>
      </c>
      <c r="E42" s="10"/>
      <c r="F42" s="10"/>
      <c r="G42" s="10"/>
      <c r="H42" s="10"/>
      <c r="I42" s="10"/>
    </row>
    <row r="43" spans="1:9" x14ac:dyDescent="0.25">
      <c r="A43" s="18">
        <v>40</v>
      </c>
      <c r="B43" s="18"/>
      <c r="C43" s="18"/>
      <c r="D43" s="9">
        <f>IF(C43="","",IFERROR(VLOOKUP(C43,'01_Employes'!$A$6:$Q$30,4,FALSE),"⚠ inconnu"))</f>
      </c>
      <c r="E43" s="10"/>
      <c r="F43" s="10"/>
      <c r="G43" s="10"/>
      <c r="H43" s="10"/>
      <c r="I43" s="10"/>
    </row>
  </sheetData>
  <sheetProtection sheet="1" formatCells="0" formatColumns="0" formatRows="0" autoFilter="0" algorithmName="SHA-512" hashValue="D4IjcHT5TNQJPVuKq9iYrTQw/30LiEojrewYHjQ7XWBayTIjDTl2hsOcfPfDSFpz1fWR+63sZlbXIpswGYgedg==" saltValue="aWcYfDQX2XLuJBida8vYOg==" spinCount="100000"/>
  <mergeCells count="1">
    <mergeCell ref="A1:I1"/>
  </mergeCells>
  <dataValidations count="6">
    <dataValidation type="list" allowBlank="1" sqref="C10:C43">
      <formula1>='01_Employes'!$A$6:$A$30</formula1>
    </dataValidation>
    <dataValidation type="list" allowBlank="1" sqref="C4:C43">
      <formula1>='01_Employes'!$A$6:$A$30</formula1>
    </dataValidation>
    <dataValidation type="list" allowBlank="1" sqref="E10:E43">
      <formula1>"Avertissement verbal,Avertissement écrit,Mise à pied,Suspension,Rappel à l’ordre,Autre"</formula1>
    </dataValidation>
    <dataValidation type="list" allowBlank="1" sqref="E4:E43">
      <formula1>"Avertissement verbal,Avertissement écrit,Mise à pied,Suspension,Rappel à l’ordre,Autre"</formula1>
    </dataValidation>
    <dataValidation type="list" allowBlank="1" sqref="G10:G43">
      <formula1>"Faible,Moyenne,Grave"</formula1>
    </dataValidation>
    <dataValidation type="list" allowBlank="1" sqref="G4:G43">
      <formula1>"Faible,Moyenne,Grave"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21" customWidth="1"/>
    <col min="4" max="4" width="22" customWidth="1"/>
    <col min="5" max="5" width="26" customWidth="1"/>
    <col min="6" max="6" width="18" customWidth="1"/>
  </cols>
  <sheetData>
    <row r="1" ht="24" customHeight="1" spans="1:6" x14ac:dyDescent="0.25">
      <c r="A1" s="1" t="s">
        <v>299</v>
      </c>
      <c r="B1" s="1"/>
      <c r="C1" s="1"/>
      <c r="D1" s="1"/>
      <c r="E1" s="1"/>
      <c r="F1" s="1"/>
    </row>
    <row r="3" ht="28" customHeight="1" spans="1:6" x14ac:dyDescent="0.25">
      <c r="A3" s="8" t="s">
        <v>145</v>
      </c>
      <c r="B3" s="8" t="s">
        <v>148</v>
      </c>
      <c r="C3" s="8" t="s">
        <v>11</v>
      </c>
      <c r="D3" s="8" t="s">
        <v>149</v>
      </c>
      <c r="E3" s="8" t="s">
        <v>150</v>
      </c>
      <c r="F3" s="8" t="s">
        <v>13</v>
      </c>
    </row>
    <row r="4" spans="1:6" x14ac:dyDescent="0.25">
      <c r="A4" s="9">
        <f>IF('01_Employes'!A6="","",'01_Employes'!A6)</f>
      </c>
      <c r="B4" s="9">
        <f>IF(A4="","",'01_Employes'!D6)</f>
      </c>
      <c r="C4" s="9">
        <f>IF(A4="","",'01_Employes'!E6)</f>
      </c>
      <c r="D4" s="9">
        <f>IF(A4="","",'01_Employes'!G6)</f>
      </c>
      <c r="E4" s="9">
        <f>IF(A4="","",'01_Employes'!H6)</f>
      </c>
      <c r="F4" s="9">
        <f>IF(A4="","",'01_Employes'!F6)</f>
      </c>
    </row>
    <row r="5" spans="1:6" x14ac:dyDescent="0.25">
      <c r="A5" s="9">
        <f>IF('01_Employes'!A7="","",'01_Employes'!A7)</f>
      </c>
      <c r="B5" s="9">
        <f>IF(A5="","",'01_Employes'!D7)</f>
      </c>
      <c r="C5" s="9">
        <f>IF(A5="","",'01_Employes'!E7)</f>
      </c>
      <c r="D5" s="9">
        <f>IF(A5="","",'01_Employes'!G7)</f>
      </c>
      <c r="E5" s="9">
        <f>IF(A5="","",'01_Employes'!H7)</f>
      </c>
      <c r="F5" s="9">
        <f>IF(A5="","",'01_Employes'!F7)</f>
      </c>
    </row>
    <row r="6" spans="1:6" x14ac:dyDescent="0.25">
      <c r="A6" s="9">
        <f>IF('01_Employes'!A8="","",'01_Employes'!A8)</f>
      </c>
      <c r="B6" s="9">
        <f>IF(A6="","",'01_Employes'!D8)</f>
      </c>
      <c r="C6" s="9">
        <f>IF(A6="","",'01_Employes'!E8)</f>
      </c>
      <c r="D6" s="9">
        <f>IF(A6="","",'01_Employes'!G8)</f>
      </c>
      <c r="E6" s="9">
        <f>IF(A6="","",'01_Employes'!H8)</f>
      </c>
      <c r="F6" s="9">
        <f>IF(A6="","",'01_Employes'!F8)</f>
      </c>
    </row>
    <row r="7" spans="1:6" x14ac:dyDescent="0.25">
      <c r="A7" s="9">
        <f>IF('01_Employes'!A9="","",'01_Employes'!A9)</f>
      </c>
      <c r="B7" s="9">
        <f>IF(A7="","",'01_Employes'!D9)</f>
      </c>
      <c r="C7" s="9">
        <f>IF(A7="","",'01_Employes'!E9)</f>
      </c>
      <c r="D7" s="9">
        <f>IF(A7="","",'01_Employes'!G9)</f>
      </c>
      <c r="E7" s="9">
        <f>IF(A7="","",'01_Employes'!H9)</f>
      </c>
      <c r="F7" s="9">
        <f>IF(A7="","",'01_Employes'!F9)</f>
      </c>
    </row>
    <row r="8" spans="1:6" x14ac:dyDescent="0.25">
      <c r="A8" s="9">
        <f>IF('01_Employes'!A10="","",'01_Employes'!A10)</f>
      </c>
      <c r="B8" s="9">
        <f>IF(A8="","",'01_Employes'!D10)</f>
      </c>
      <c r="C8" s="9">
        <f>IF(A8="","",'01_Employes'!E10)</f>
      </c>
      <c r="D8" s="9">
        <f>IF(A8="","",'01_Employes'!G10)</f>
      </c>
      <c r="E8" s="9">
        <f>IF(A8="","",'01_Employes'!H10)</f>
      </c>
      <c r="F8" s="9">
        <f>IF(A8="","",'01_Employes'!F10)</f>
      </c>
    </row>
    <row r="9" spans="1:6" x14ac:dyDescent="0.25">
      <c r="A9" s="9">
        <f>IF('01_Employes'!A11="","",'01_Employes'!A11)</f>
      </c>
      <c r="B9" s="9">
        <f>IF(A9="","",'01_Employes'!D11)</f>
      </c>
      <c r="C9" s="9">
        <f>IF(A9="","",'01_Employes'!E11)</f>
      </c>
      <c r="D9" s="9">
        <f>IF(A9="","",'01_Employes'!G11)</f>
      </c>
      <c r="E9" s="9">
        <f>IF(A9="","",'01_Employes'!H11)</f>
      </c>
      <c r="F9" s="9">
        <f>IF(A9="","",'01_Employes'!F11)</f>
      </c>
    </row>
    <row r="10" spans="1:6" x14ac:dyDescent="0.25">
      <c r="A10" s="9">
        <f>IF('01_Employes'!A12="","",'01_Employes'!A12)</f>
      </c>
      <c r="B10" s="9">
        <f>IF(A10="","",'01_Employes'!D12)</f>
      </c>
      <c r="C10" s="9">
        <f>IF(A10="","",'01_Employes'!E12)</f>
      </c>
      <c r="D10" s="9">
        <f>IF(A10="","",'01_Employes'!G12)</f>
      </c>
      <c r="E10" s="9">
        <f>IF(A10="","",'01_Employes'!H12)</f>
      </c>
      <c r="F10" s="9">
        <f>IF(A10="","",'01_Employes'!F12)</f>
      </c>
    </row>
    <row r="11" spans="1:6" x14ac:dyDescent="0.25">
      <c r="A11" s="9">
        <f>IF('01_Employes'!A13="","",'01_Employes'!A13)</f>
      </c>
      <c r="B11" s="9">
        <f>IF(A11="","",'01_Employes'!D13)</f>
      </c>
      <c r="C11" s="9">
        <f>IF(A11="","",'01_Employes'!E13)</f>
      </c>
      <c r="D11" s="9">
        <f>IF(A11="","",'01_Employes'!G13)</f>
      </c>
      <c r="E11" s="9">
        <f>IF(A11="","",'01_Employes'!H13)</f>
      </c>
      <c r="F11" s="9">
        <f>IF(A11="","",'01_Employes'!F13)</f>
      </c>
    </row>
    <row r="12" spans="1:6" x14ac:dyDescent="0.25">
      <c r="A12" s="9">
        <f>IF('01_Employes'!A14="","",'01_Employes'!A14)</f>
      </c>
      <c r="B12" s="9">
        <f>IF(A12="","",'01_Employes'!D14)</f>
      </c>
      <c r="C12" s="9">
        <f>IF(A12="","",'01_Employes'!E14)</f>
      </c>
      <c r="D12" s="9">
        <f>IF(A12="","",'01_Employes'!G14)</f>
      </c>
      <c r="E12" s="9">
        <f>IF(A12="","",'01_Employes'!H14)</f>
      </c>
      <c r="F12" s="9">
        <f>IF(A12="","",'01_Employes'!F14)</f>
      </c>
    </row>
    <row r="13" spans="1:6" x14ac:dyDescent="0.25">
      <c r="A13" s="9">
        <f>IF('01_Employes'!A15="","",'01_Employes'!A15)</f>
      </c>
      <c r="B13" s="9">
        <f>IF(A13="","",'01_Employes'!D15)</f>
      </c>
      <c r="C13" s="9">
        <f>IF(A13="","",'01_Employes'!E15)</f>
      </c>
      <c r="D13" s="9">
        <f>IF(A13="","",'01_Employes'!G15)</f>
      </c>
      <c r="E13" s="9">
        <f>IF(A13="","",'01_Employes'!H15)</f>
      </c>
      <c r="F13" s="9">
        <f>IF(A13="","",'01_Employes'!F15)</f>
      </c>
    </row>
    <row r="14" spans="1:6" x14ac:dyDescent="0.25">
      <c r="A14" s="9">
        <f>IF('01_Employes'!A16="","",'01_Employes'!A16)</f>
      </c>
      <c r="B14" s="9">
        <f>IF(A14="","",'01_Employes'!D16)</f>
      </c>
      <c r="C14" s="9">
        <f>IF(A14="","",'01_Employes'!E16)</f>
      </c>
      <c r="D14" s="9">
        <f>IF(A14="","",'01_Employes'!G16)</f>
      </c>
      <c r="E14" s="9">
        <f>IF(A14="","",'01_Employes'!H16)</f>
      </c>
      <c r="F14" s="9">
        <f>IF(A14="","",'01_Employes'!F16)</f>
      </c>
    </row>
    <row r="15" spans="1:6" x14ac:dyDescent="0.25">
      <c r="A15" s="9">
        <f>IF('01_Employes'!A17="","",'01_Employes'!A17)</f>
      </c>
      <c r="B15" s="9">
        <f>IF(A15="","",'01_Employes'!D17)</f>
      </c>
      <c r="C15" s="9">
        <f>IF(A15="","",'01_Employes'!E17)</f>
      </c>
      <c r="D15" s="9">
        <f>IF(A15="","",'01_Employes'!G17)</f>
      </c>
      <c r="E15" s="9">
        <f>IF(A15="","",'01_Employes'!H17)</f>
      </c>
      <c r="F15" s="9">
        <f>IF(A15="","",'01_Employes'!F17)</f>
      </c>
    </row>
    <row r="16" spans="1:6" x14ac:dyDescent="0.25">
      <c r="A16" s="9">
        <f>IF('01_Employes'!A18="","",'01_Employes'!A18)</f>
      </c>
      <c r="B16" s="9">
        <f>IF(A16="","",'01_Employes'!D18)</f>
      </c>
      <c r="C16" s="9">
        <f>IF(A16="","",'01_Employes'!E18)</f>
      </c>
      <c r="D16" s="9">
        <f>IF(A16="","",'01_Employes'!G18)</f>
      </c>
      <c r="E16" s="9">
        <f>IF(A16="","",'01_Employes'!H18)</f>
      </c>
      <c r="F16" s="9">
        <f>IF(A16="","",'01_Employes'!F18)</f>
      </c>
    </row>
    <row r="17" spans="1:6" x14ac:dyDescent="0.25">
      <c r="A17" s="9">
        <f>IF('01_Employes'!A19="","",'01_Employes'!A19)</f>
      </c>
      <c r="B17" s="9">
        <f>IF(A17="","",'01_Employes'!D19)</f>
      </c>
      <c r="C17" s="9">
        <f>IF(A17="","",'01_Employes'!E19)</f>
      </c>
      <c r="D17" s="9">
        <f>IF(A17="","",'01_Employes'!G19)</f>
      </c>
      <c r="E17" s="9">
        <f>IF(A17="","",'01_Employes'!H19)</f>
      </c>
      <c r="F17" s="9">
        <f>IF(A17="","",'01_Employes'!F19)</f>
      </c>
    </row>
    <row r="18" spans="1:6" x14ac:dyDescent="0.25">
      <c r="A18" s="9">
        <f>IF('01_Employes'!A20="","",'01_Employes'!A20)</f>
      </c>
      <c r="B18" s="9">
        <f>IF(A18="","",'01_Employes'!D20)</f>
      </c>
      <c r="C18" s="9">
        <f>IF(A18="","",'01_Employes'!E20)</f>
      </c>
      <c r="D18" s="9">
        <f>IF(A18="","",'01_Employes'!G20)</f>
      </c>
      <c r="E18" s="9">
        <f>IF(A18="","",'01_Employes'!H20)</f>
      </c>
      <c r="F18" s="9">
        <f>IF(A18="","",'01_Employes'!F20)</f>
      </c>
    </row>
    <row r="19" spans="1:6" x14ac:dyDescent="0.25">
      <c r="A19" s="9">
        <f>IF('01_Employes'!A21="","",'01_Employes'!A21)</f>
      </c>
      <c r="B19" s="9">
        <f>IF(A19="","",'01_Employes'!D21)</f>
      </c>
      <c r="C19" s="9">
        <f>IF(A19="","",'01_Employes'!E21)</f>
      </c>
      <c r="D19" s="9">
        <f>IF(A19="","",'01_Employes'!G21)</f>
      </c>
      <c r="E19" s="9">
        <f>IF(A19="","",'01_Employes'!H21)</f>
      </c>
      <c r="F19" s="9">
        <f>IF(A19="","",'01_Employes'!F21)</f>
      </c>
    </row>
    <row r="20" spans="1:6" x14ac:dyDescent="0.25">
      <c r="A20" s="9">
        <f>IF('01_Employes'!A22="","",'01_Employes'!A22)</f>
      </c>
      <c r="B20" s="9">
        <f>IF(A20="","",'01_Employes'!D22)</f>
      </c>
      <c r="C20" s="9">
        <f>IF(A20="","",'01_Employes'!E22)</f>
      </c>
      <c r="D20" s="9">
        <f>IF(A20="","",'01_Employes'!G22)</f>
      </c>
      <c r="E20" s="9">
        <f>IF(A20="","",'01_Employes'!H22)</f>
      </c>
      <c r="F20" s="9">
        <f>IF(A20="","",'01_Employes'!F22)</f>
      </c>
    </row>
    <row r="21" spans="1:6" x14ac:dyDescent="0.25">
      <c r="A21" s="9">
        <f>IF('01_Employes'!A23="","",'01_Employes'!A23)</f>
      </c>
      <c r="B21" s="9">
        <f>IF(A21="","",'01_Employes'!D23)</f>
      </c>
      <c r="C21" s="9">
        <f>IF(A21="","",'01_Employes'!E23)</f>
      </c>
      <c r="D21" s="9">
        <f>IF(A21="","",'01_Employes'!G23)</f>
      </c>
      <c r="E21" s="9">
        <f>IF(A21="","",'01_Employes'!H23)</f>
      </c>
      <c r="F21" s="9">
        <f>IF(A21="","",'01_Employes'!F23)</f>
      </c>
    </row>
    <row r="22" spans="1:6" x14ac:dyDescent="0.25">
      <c r="A22" s="9">
        <f>IF('01_Employes'!A24="","",'01_Employes'!A24)</f>
      </c>
      <c r="B22" s="9">
        <f>IF(A22="","",'01_Employes'!D24)</f>
      </c>
      <c r="C22" s="9">
        <f>IF(A22="","",'01_Employes'!E24)</f>
      </c>
      <c r="D22" s="9">
        <f>IF(A22="","",'01_Employes'!G24)</f>
      </c>
      <c r="E22" s="9">
        <f>IF(A22="","",'01_Employes'!H24)</f>
      </c>
      <c r="F22" s="9">
        <f>IF(A22="","",'01_Employes'!F24)</f>
      </c>
    </row>
    <row r="23" spans="1:6" x14ac:dyDescent="0.25">
      <c r="A23" s="9">
        <f>IF('01_Employes'!A25="","",'01_Employes'!A25)</f>
      </c>
      <c r="B23" s="9">
        <f>IF(A23="","",'01_Employes'!D25)</f>
      </c>
      <c r="C23" s="9">
        <f>IF(A23="","",'01_Employes'!E25)</f>
      </c>
      <c r="D23" s="9">
        <f>IF(A23="","",'01_Employes'!G25)</f>
      </c>
      <c r="E23" s="9">
        <f>IF(A23="","",'01_Employes'!H25)</f>
      </c>
      <c r="F23" s="9">
        <f>IF(A23="","",'01_Employes'!F25)</f>
      </c>
    </row>
    <row r="24" spans="1:6" x14ac:dyDescent="0.25">
      <c r="A24" s="9">
        <f>IF('01_Employes'!A26="","",'01_Employes'!A26)</f>
      </c>
      <c r="B24" s="9">
        <f>IF(A24="","",'01_Employes'!D26)</f>
      </c>
      <c r="C24" s="9">
        <f>IF(A24="","",'01_Employes'!E26)</f>
      </c>
      <c r="D24" s="9">
        <f>IF(A24="","",'01_Employes'!G26)</f>
      </c>
      <c r="E24" s="9">
        <f>IF(A24="","",'01_Employes'!H26)</f>
      </c>
      <c r="F24" s="9">
        <f>IF(A24="","",'01_Employes'!F26)</f>
      </c>
    </row>
    <row r="25" spans="1:6" x14ac:dyDescent="0.25">
      <c r="A25" s="9">
        <f>IF('01_Employes'!A27="","",'01_Employes'!A27)</f>
      </c>
      <c r="B25" s="9">
        <f>IF(A25="","",'01_Employes'!D27)</f>
      </c>
      <c r="C25" s="9">
        <f>IF(A25="","",'01_Employes'!E27)</f>
      </c>
      <c r="D25" s="9">
        <f>IF(A25="","",'01_Employes'!G27)</f>
      </c>
      <c r="E25" s="9">
        <f>IF(A25="","",'01_Employes'!H27)</f>
      </c>
      <c r="F25" s="9">
        <f>IF(A25="","",'01_Employes'!F27)</f>
      </c>
    </row>
    <row r="26" spans="1:6" x14ac:dyDescent="0.25">
      <c r="A26" s="9">
        <f>IF('01_Employes'!A28="","",'01_Employes'!A28)</f>
      </c>
      <c r="B26" s="9">
        <f>IF(A26="","",'01_Employes'!D28)</f>
      </c>
      <c r="C26" s="9">
        <f>IF(A26="","",'01_Employes'!E28)</f>
      </c>
      <c r="D26" s="9">
        <f>IF(A26="","",'01_Employes'!G28)</f>
      </c>
      <c r="E26" s="9">
        <f>IF(A26="","",'01_Employes'!H28)</f>
      </c>
      <c r="F26" s="9">
        <f>IF(A26="","",'01_Employes'!F28)</f>
      </c>
    </row>
    <row r="27" spans="1:6" x14ac:dyDescent="0.25">
      <c r="A27" s="9">
        <f>IF('01_Employes'!A29="","",'01_Employes'!A29)</f>
      </c>
      <c r="B27" s="9">
        <f>IF(A27="","",'01_Employes'!D29)</f>
      </c>
      <c r="C27" s="9">
        <f>IF(A27="","",'01_Employes'!E29)</f>
      </c>
      <c r="D27" s="9">
        <f>IF(A27="","",'01_Employes'!G29)</f>
      </c>
      <c r="E27" s="9">
        <f>IF(A27="","",'01_Employes'!H29)</f>
      </c>
      <c r="F27" s="9">
        <f>IF(A27="","",'01_Employes'!F29)</f>
      </c>
    </row>
    <row r="28" spans="1:6" x14ac:dyDescent="0.25">
      <c r="A28" s="9">
        <f>IF('01_Employes'!A30="","",'01_Employes'!A30)</f>
      </c>
      <c r="B28" s="9">
        <f>IF(A28="","",'01_Employes'!D30)</f>
      </c>
      <c r="C28" s="9">
        <f>IF(A28="","",'01_Employes'!E30)</f>
      </c>
      <c r="D28" s="9">
        <f>IF(A28="","",'01_Employes'!G30)</f>
      </c>
      <c r="E28" s="9">
        <f>IF(A28="","",'01_Employes'!H30)</f>
      </c>
      <c r="F28" s="9">
        <f>IF(A28="","",'01_Employes'!F30)</f>
      </c>
    </row>
  </sheetData>
  <sheetProtection sheet="1" formatCells="0" formatColumns="0" formatRows="0" autoFilter="0" algorithmName="SHA-512" hashValue="Q4UsFk30kBpnS/6MbLQG6/dpibzVESG2XCLdMMDXEMwE4g+2Yrs87qJ3cZGNeN/X3AtPqCF7ko4c+DEqctRH+w==" saltValue="JeYnd7XwjlwLOz4PyWLR5Q==" spinCount="100000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4" customWidth="1"/>
    <col min="3" max="3" width="12" customWidth="1"/>
    <col min="4" max="4" width="30" customWidth="1"/>
    <col min="5" max="5" width="20" customWidth="1"/>
    <col min="6" max="6" width="12" customWidth="1"/>
    <col min="7" max="7" width="22" customWidth="1"/>
    <col min="8" max="8" width="10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4" spans="1:7" x14ac:dyDescent="0.25">
      <c r="A4" s="3" t="s">
        <v>2</v>
      </c>
      <c r="C4" s="3" t="s">
        <v>3</v>
      </c>
      <c r="E4" s="3" t="s">
        <v>4</v>
      </c>
      <c r="G4" s="3" t="s">
        <v>5</v>
      </c>
    </row>
    <row r="5" ht="26" customHeight="1" spans="1:7" x14ac:dyDescent="0.25">
      <c r="A5" s="4">
        <f>SUMPRODUCT(('01_Employes'!A6:A30&lt;&gt;"")*1)</f>
      </c>
      <c r="C5" s="4">
        <f>COUNTIF('01_Employes'!I6:I30,"Actif")</f>
      </c>
      <c r="E5" s="4">
        <f>COUNTIF('01_Employes'!K6:K30,"CDI")</f>
      </c>
      <c r="G5" s="4">
        <f>COUNTIF('01_Employes'!K6:K30,"Apprentissage")</f>
      </c>
    </row>
    <row r="8" spans="1:7" x14ac:dyDescent="0.25">
      <c r="A8" s="3" t="s">
        <v>6</v>
      </c>
      <c r="E8" s="3" t="s">
        <v>7</v>
      </c>
      <c r="G8" s="3" t="s">
        <v>8</v>
      </c>
    </row>
    <row r="9" ht="26" customHeight="1" spans="1:7" x14ac:dyDescent="0.25">
      <c r="A9" s="5">
        <f>SUMIF('01_Employes'!I6:I30,"Actif",'01_Employes'!L6:L30)</f>
      </c>
      <c r="E9" s="6">
        <f>'03_Paie'!H37</f>
      </c>
      <c r="G9" s="5">
        <f>'03_Paie'!L37</f>
      </c>
    </row>
    <row r="12" spans="1:6" x14ac:dyDescent="0.25">
      <c r="A12" s="7" t="s">
        <v>9</v>
      </c>
      <c r="B12" s="7"/>
      <c r="E12" s="7" t="s">
        <v>10</v>
      </c>
      <c r="F12" s="7"/>
    </row>
    <row r="13" ht="28" customHeight="1" spans="1:6" x14ac:dyDescent="0.25">
      <c r="A13" s="8" t="s">
        <v>11</v>
      </c>
      <c r="B13" s="8" t="s">
        <v>12</v>
      </c>
      <c r="E13" s="8" t="s">
        <v>13</v>
      </c>
      <c r="F13" s="8" t="s">
        <v>12</v>
      </c>
    </row>
    <row r="14" spans="1:6" x14ac:dyDescent="0.25">
      <c r="A14" t="s">
        <v>14</v>
      </c>
      <c r="B14" s="9">
        <f>COUNTIF('01_Employes'!$E$6:$E$30,A14)</f>
      </c>
      <c r="E14" t="s">
        <v>15</v>
      </c>
      <c r="F14" s="9">
        <f>COUNTIF('01_Employes'!$F$6:$F$30,E14)</f>
      </c>
    </row>
    <row r="15" spans="1:6" x14ac:dyDescent="0.25">
      <c r="A15" t="s">
        <v>16</v>
      </c>
      <c r="B15" s="9">
        <f>COUNTIF('01_Employes'!$E$6:$E$30,A15)</f>
      </c>
      <c r="E15" t="s">
        <v>17</v>
      </c>
      <c r="F15" s="9">
        <f>COUNTIF('01_Employes'!$F$6:$F$30,E15)</f>
      </c>
    </row>
    <row r="16" spans="1:6" x14ac:dyDescent="0.25">
      <c r="A16" t="s">
        <v>18</v>
      </c>
      <c r="B16" s="9">
        <f>COUNTIF('01_Employes'!$E$6:$E$30,A16)</f>
      </c>
      <c r="E16" t="s">
        <v>19</v>
      </c>
      <c r="F16" s="9">
        <f>COUNTIF('01_Employes'!$F$6:$F$30,E16)</f>
      </c>
    </row>
    <row r="17" spans="1:6" x14ac:dyDescent="0.25">
      <c r="A17" t="s">
        <v>20</v>
      </c>
      <c r="B17" s="9">
        <f>COUNTIF('01_Employes'!$E$6:$E$30,A17)</f>
      </c>
      <c r="E17" t="s">
        <v>21</v>
      </c>
      <c r="F17" s="9">
        <f>COUNTIF('01_Employes'!$F$6:$F$30,E17)</f>
      </c>
    </row>
    <row r="18" spans="1:6" x14ac:dyDescent="0.25">
      <c r="A18" t="s">
        <v>22</v>
      </c>
      <c r="B18" s="9">
        <f>COUNTIF('01_Employes'!$E$6:$E$30,A18)</f>
      </c>
      <c r="E18" t="s">
        <v>23</v>
      </c>
      <c r="F18" s="9">
        <f>COUNTIF('01_Employes'!$F$6:$F$30,E18)</f>
      </c>
    </row>
    <row r="19" spans="1:6" x14ac:dyDescent="0.25">
      <c r="A19" t="s">
        <v>24</v>
      </c>
      <c r="B19" s="9">
        <f>COUNTIF('01_Employes'!$E$6:$E$30,A19)</f>
      </c>
      <c r="E19" t="s">
        <v>25</v>
      </c>
      <c r="F19" s="9">
        <f>COUNTIF('01_Employes'!$F$6:$F$30,E19)</f>
      </c>
    </row>
    <row r="20" spans="1:6" x14ac:dyDescent="0.25">
      <c r="A20" t="s">
        <v>26</v>
      </c>
      <c r="B20" s="9">
        <f>COUNTIF('01_Employes'!$E$6:$E$30,A20)</f>
      </c>
      <c r="F20" s="9"/>
    </row>
    <row r="21" spans="1:6" x14ac:dyDescent="0.25">
      <c r="A21" t="s">
        <v>27</v>
      </c>
      <c r="B21" s="9">
        <f>COUNTIF('01_Employes'!$E$6:$E$30,A21)</f>
      </c>
      <c r="F21" s="9"/>
    </row>
    <row r="24" spans="1:4" x14ac:dyDescent="0.25">
      <c r="A24" s="7" t="s">
        <v>28</v>
      </c>
      <c r="B24" s="7"/>
      <c r="C24" s="7"/>
      <c r="D24" s="7"/>
    </row>
    <row r="25" ht="28" customHeight="1" spans="1:2" x14ac:dyDescent="0.25">
      <c r="A25" s="8" t="s">
        <v>29</v>
      </c>
      <c r="B25" s="8" t="s">
        <v>30</v>
      </c>
    </row>
    <row r="26" spans="1:4" x14ac:dyDescent="0.25">
      <c r="A26" t="s">
        <v>31</v>
      </c>
      <c r="B26" t="s">
        <v>32</v>
      </c>
      <c r="C26"/>
      <c r="D26"/>
    </row>
    <row r="27" spans="1:4" x14ac:dyDescent="0.25">
      <c r="A27" t="s">
        <v>33</v>
      </c>
      <c r="B27" t="s">
        <v>34</v>
      </c>
      <c r="C27"/>
      <c r="D27"/>
    </row>
    <row r="28" spans="1:4" x14ac:dyDescent="0.25">
      <c r="A28" t="s">
        <v>35</v>
      </c>
      <c r="B28" t="s">
        <v>36</v>
      </c>
      <c r="C28"/>
      <c r="D28"/>
    </row>
    <row r="29" spans="1:4" x14ac:dyDescent="0.25">
      <c r="A29" t="s">
        <v>37</v>
      </c>
      <c r="B29" t="s">
        <v>38</v>
      </c>
      <c r="C29"/>
      <c r="D29"/>
    </row>
    <row r="30" spans="1:4" x14ac:dyDescent="0.25">
      <c r="A30" t="s">
        <v>39</v>
      </c>
      <c r="B30" t="s">
        <v>40</v>
      </c>
      <c r="C30"/>
      <c r="D30"/>
    </row>
    <row r="31" spans="1:4" x14ac:dyDescent="0.25">
      <c r="A31" t="s">
        <v>41</v>
      </c>
      <c r="B31" t="s">
        <v>42</v>
      </c>
      <c r="C31"/>
      <c r="D31"/>
    </row>
    <row r="32" spans="1:4" x14ac:dyDescent="0.25">
      <c r="A32" t="s">
        <v>43</v>
      </c>
      <c r="B32" t="s">
        <v>44</v>
      </c>
      <c r="C32"/>
      <c r="D32"/>
    </row>
    <row r="33" spans="1:4" x14ac:dyDescent="0.25">
      <c r="A33" t="s">
        <v>45</v>
      </c>
      <c r="B33" t="s">
        <v>46</v>
      </c>
      <c r="C33"/>
      <c r="D33"/>
    </row>
    <row r="34" spans="1:4" x14ac:dyDescent="0.25">
      <c r="A34" t="s">
        <v>47</v>
      </c>
      <c r="B34" t="s">
        <v>48</v>
      </c>
      <c r="C34"/>
      <c r="D34"/>
    </row>
    <row r="35" spans="1:4" x14ac:dyDescent="0.25">
      <c r="A35" t="s">
        <v>49</v>
      </c>
      <c r="B35" t="s">
        <v>50</v>
      </c>
      <c r="C35"/>
      <c r="D35"/>
    </row>
    <row r="36" spans="1:4" x14ac:dyDescent="0.25">
      <c r="A36" t="s">
        <v>51</v>
      </c>
      <c r="B36" t="s">
        <v>52</v>
      </c>
      <c r="C36"/>
      <c r="D36"/>
    </row>
  </sheetData>
  <sheetProtection sheet="1" formatCells="0" formatColumns="0" formatRows="0" autoFilter="0" algorithmName="SHA-512" hashValue="Ga9jvhADobnAlk0b2qDysmuYfqXQM40p7L5zdvhkNsk6vKADdwg0+dk4Kz19iQ8EiYyRoMpry7pad8+QXQobxQ==" saltValue="gSNWu/UA5w3YTcbxuV1dug==" spinCount="100000"/>
  <mergeCells count="15">
    <mergeCell ref="A1:H1"/>
    <mergeCell ref="A12:B12"/>
    <mergeCell ref="E12:F12"/>
    <mergeCell ref="A24:D24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 showGridLines="0"/>
  </sheetViews>
  <sheetFormatPr defaultRowHeight="15" outlineLevelRow="0" outlineLevelCol="0" x14ac:dyDescent="55"/>
  <cols>
    <col min="1" max="1" width="110" customWidth="1"/>
    <col min="2" max="2" width="40" customWidth="1"/>
  </cols>
  <sheetData>
    <row r="1" ht="24" customHeight="1" spans="1:2" x14ac:dyDescent="0.25">
      <c r="A1" s="1" t="s">
        <v>300</v>
      </c>
      <c r="B1" s="1"/>
    </row>
    <row r="3" spans="1:2" x14ac:dyDescent="0.25">
      <c r="A3" s="30" t="s">
        <v>301</v>
      </c>
      <c r="B3" s="31"/>
    </row>
    <row r="4" spans="1:2" x14ac:dyDescent="0.25">
      <c r="A4" s="30" t="s">
        <v>302</v>
      </c>
      <c r="B4" s="31"/>
    </row>
    <row r="5" spans="1:2" x14ac:dyDescent="0.25">
      <c r="A5" s="32" t="s">
        <v>178</v>
      </c>
      <c r="B5" s="31"/>
    </row>
    <row r="6" spans="1:2" x14ac:dyDescent="0.25">
      <c r="A6" s="30" t="s">
        <v>303</v>
      </c>
      <c r="B6" s="31"/>
    </row>
    <row r="7" spans="1:2" x14ac:dyDescent="0.25">
      <c r="A7" s="32" t="s">
        <v>49</v>
      </c>
      <c r="B7" s="31" t="s">
        <v>304</v>
      </c>
    </row>
    <row r="8" spans="1:2" x14ac:dyDescent="0.25">
      <c r="A8" s="32" t="s">
        <v>31</v>
      </c>
      <c r="B8" s="31" t="s">
        <v>305</v>
      </c>
    </row>
    <row r="9" spans="1:2" x14ac:dyDescent="0.25">
      <c r="A9" s="32" t="s">
        <v>33</v>
      </c>
      <c r="B9" s="31" t="s">
        <v>306</v>
      </c>
    </row>
    <row r="10" spans="1:2" x14ac:dyDescent="0.25">
      <c r="A10" s="32" t="s">
        <v>35</v>
      </c>
      <c r="B10" s="31" t="s">
        <v>307</v>
      </c>
    </row>
    <row r="11" spans="1:2" x14ac:dyDescent="0.25">
      <c r="A11" s="32" t="s">
        <v>37</v>
      </c>
      <c r="B11" s="31" t="s">
        <v>308</v>
      </c>
    </row>
    <row r="12" spans="1:2" x14ac:dyDescent="0.25">
      <c r="A12" s="32" t="s">
        <v>39</v>
      </c>
      <c r="B12" s="31" t="s">
        <v>309</v>
      </c>
    </row>
    <row r="13" spans="1:2" x14ac:dyDescent="0.25">
      <c r="A13" s="32" t="s">
        <v>41</v>
      </c>
      <c r="B13" s="31" t="s">
        <v>310</v>
      </c>
    </row>
    <row r="14" spans="1:2" x14ac:dyDescent="0.25">
      <c r="A14" s="32" t="s">
        <v>43</v>
      </c>
      <c r="B14" s="31" t="s">
        <v>311</v>
      </c>
    </row>
    <row r="15" spans="1:2" x14ac:dyDescent="0.25">
      <c r="A15" s="32" t="s">
        <v>45</v>
      </c>
      <c r="B15" s="31" t="s">
        <v>312</v>
      </c>
    </row>
    <row r="16" spans="1:2" x14ac:dyDescent="0.25">
      <c r="A16" s="32" t="s">
        <v>47</v>
      </c>
      <c r="B16" s="31" t="s">
        <v>313</v>
      </c>
    </row>
    <row r="17" spans="1:2" x14ac:dyDescent="0.25">
      <c r="A17" s="32" t="s">
        <v>178</v>
      </c>
      <c r="B17" s="31"/>
    </row>
    <row r="18" spans="1:2" x14ac:dyDescent="0.25">
      <c r="A18" s="30" t="s">
        <v>314</v>
      </c>
      <c r="B18" s="31"/>
    </row>
    <row r="19" spans="1:2" x14ac:dyDescent="0.25">
      <c r="A19" s="32" t="s">
        <v>315</v>
      </c>
      <c r="B19" s="31" t="s">
        <v>316</v>
      </c>
    </row>
    <row r="20" spans="1:2" x14ac:dyDescent="0.25">
      <c r="A20" s="32" t="s">
        <v>317</v>
      </c>
      <c r="B20" s="31" t="s">
        <v>318</v>
      </c>
    </row>
    <row r="21" spans="1:2" x14ac:dyDescent="0.25">
      <c r="A21" s="32" t="s">
        <v>319</v>
      </c>
      <c r="B21" s="31" t="s">
        <v>320</v>
      </c>
    </row>
    <row r="22" spans="1:2" x14ac:dyDescent="0.25">
      <c r="A22" s="32" t="s">
        <v>321</v>
      </c>
      <c r="B22" s="31" t="s">
        <v>322</v>
      </c>
    </row>
    <row r="23" spans="1:2" x14ac:dyDescent="0.25">
      <c r="A23" s="32" t="s">
        <v>323</v>
      </c>
      <c r="B23" s="31" t="s">
        <v>324</v>
      </c>
    </row>
    <row r="24" spans="1:2" x14ac:dyDescent="0.25">
      <c r="A24" s="32" t="s">
        <v>325</v>
      </c>
      <c r="B24" s="31" t="s">
        <v>326</v>
      </c>
    </row>
    <row r="25" spans="1:2" x14ac:dyDescent="0.25">
      <c r="A25" s="32" t="s">
        <v>327</v>
      </c>
      <c r="B25" s="31" t="s">
        <v>328</v>
      </c>
    </row>
    <row r="26" spans="1:2" x14ac:dyDescent="0.25">
      <c r="A26" s="32" t="s">
        <v>178</v>
      </c>
      <c r="B26" s="31"/>
    </row>
    <row r="27" spans="1:2" x14ac:dyDescent="0.25">
      <c r="A27" s="30" t="s">
        <v>329</v>
      </c>
      <c r="B27" s="31"/>
    </row>
    <row r="28" spans="1:2" x14ac:dyDescent="0.25">
      <c r="A28" s="32" t="s">
        <v>255</v>
      </c>
      <c r="B28" s="31" t="s">
        <v>330</v>
      </c>
    </row>
    <row r="29" spans="1:2" x14ac:dyDescent="0.25">
      <c r="A29" s="32" t="s">
        <v>234</v>
      </c>
      <c r="B29" s="31" t="s">
        <v>331</v>
      </c>
    </row>
    <row r="30" spans="1:2" x14ac:dyDescent="0.25">
      <c r="A30" s="32" t="s">
        <v>332</v>
      </c>
      <c r="B30" s="31" t="s">
        <v>333</v>
      </c>
    </row>
    <row r="31" spans="1:2" x14ac:dyDescent="0.25">
      <c r="A31" s="32" t="s">
        <v>334</v>
      </c>
      <c r="B31" s="31" t="s">
        <v>335</v>
      </c>
    </row>
    <row r="32" spans="1:2" x14ac:dyDescent="0.25">
      <c r="A32" s="32" t="s">
        <v>257</v>
      </c>
      <c r="B32" s="31" t="s">
        <v>336</v>
      </c>
    </row>
    <row r="33" spans="1:2" x14ac:dyDescent="0.25">
      <c r="A33" s="32" t="s">
        <v>258</v>
      </c>
      <c r="B33" s="31" t="s">
        <v>337</v>
      </c>
    </row>
    <row r="34" spans="1:2" x14ac:dyDescent="0.25">
      <c r="A34" s="32" t="s">
        <v>178</v>
      </c>
      <c r="B34" s="31"/>
    </row>
    <row r="35" spans="1:2" x14ac:dyDescent="0.25">
      <c r="A35" s="30" t="s">
        <v>338</v>
      </c>
      <c r="B35" s="31"/>
    </row>
    <row r="36" spans="1:2" x14ac:dyDescent="0.25">
      <c r="A36" s="32" t="s">
        <v>339</v>
      </c>
      <c r="B36" s="31" t="s">
        <v>340</v>
      </c>
    </row>
    <row r="37" spans="1:2" x14ac:dyDescent="0.25">
      <c r="A37" s="32" t="s">
        <v>339</v>
      </c>
      <c r="B37" s="31" t="s">
        <v>341</v>
      </c>
    </row>
    <row r="38" spans="1:2" x14ac:dyDescent="0.25">
      <c r="A38" s="32" t="s">
        <v>339</v>
      </c>
      <c r="B38" s="31" t="s">
        <v>342</v>
      </c>
    </row>
    <row r="39" spans="1:2" x14ac:dyDescent="0.25">
      <c r="A39" s="32" t="s">
        <v>339</v>
      </c>
      <c r="B39" s="31" t="s">
        <v>343</v>
      </c>
    </row>
    <row r="40" spans="1:2" x14ac:dyDescent="0.25">
      <c r="A40" s="32" t="s">
        <v>339</v>
      </c>
      <c r="B40" s="31" t="s">
        <v>344</v>
      </c>
    </row>
    <row r="41" spans="1:2" x14ac:dyDescent="0.25">
      <c r="A41" s="32" t="s">
        <v>339</v>
      </c>
      <c r="B41" s="31" t="s">
        <v>345</v>
      </c>
    </row>
    <row r="42" spans="1:2" x14ac:dyDescent="0.25">
      <c r="A42" s="32" t="s">
        <v>339</v>
      </c>
      <c r="B42" s="31" t="s">
        <v>346</v>
      </c>
    </row>
  </sheetData>
  <sheetProtection sheet="1" formatCells="0" formatColumns="0" formatRows="0" autoFilter="0" algorithmName="SHA-512" hashValue="HK8w0Ej2pOMUulPhdoNeCJ3meCdq4Mr2A9NuWEgv2RTtuboGQ1dGsRd04zlWspi/6YK0WdokKpoasgsysVZ/2g==" saltValue="paCvknmLrsWfl9YDbDrC3g==" spinCount="100000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00_Dashboard</vt:lpstr>
      <vt:lpstr>00_Parametres</vt:lpstr>
      <vt:lpstr>01_Employes</vt:lpstr>
      <vt:lpstr>02_Pointage</vt:lpstr>
      <vt:lpstr>03_Paie</vt:lpstr>
      <vt:lpstr>04_Conges</vt:lpstr>
      <vt:lpstr>05_Contrats</vt:lpstr>
      <vt:lpstr>06_Competences</vt:lpstr>
      <vt:lpstr>07_Planning</vt:lpstr>
      <vt:lpstr>08_Sanctions</vt:lpstr>
      <vt:lpstr>09_Contacts</vt:lpstr>
      <vt:lpstr>10_Mode_Emploi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2026-08-26T11:22:09Z</dcterms:created>
  <dcterms:modified xsi:type="dcterms:W3CDTF">2026-08-26T11:22:09Z</dcterms:modified>
</cp:coreProperties>
</file>