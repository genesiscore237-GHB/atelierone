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3"/>
  </bookViews>
  <sheets>
    <sheet sheetId="1" name="00_Dashboard" state="visible" r:id="rId4"/>
    <sheet sheetId="2" name="00_Parametres" state="visible" r:id="rId5"/>
    <sheet sheetId="3" name="01_Employes" state="visible" r:id="rId6"/>
    <sheet sheetId="4" name="02_Pointage" state="visible" r:id="rId7"/>
    <sheet sheetId="5" name="03_Paie" state="visible" r:id="rId8"/>
    <sheet sheetId="6" name="04_Conges" state="visible" r:id="rId9"/>
    <sheet sheetId="7" name="05_Contrats" state="visible" r:id="rId10"/>
    <sheet sheetId="8" name="06_Competences" state="visible" r:id="rId11"/>
    <sheet sheetId="9" name="07_Planning" state="visible" r:id="rId12"/>
    <sheet sheetId="10" name="08_Sanctions" state="visible" r:id="rId13"/>
    <sheet sheetId="11" name="09_Contacts" state="visible" r:id="rId14"/>
    <sheet sheetId="12" name="10_Mode_Emploi" state="visible" r:id="rId15"/>
  </sheets>
  <definedNames>
    <definedName name="HeuresStandardJour">'00_Parametres'!$B$5</definedName>
    <definedName name="HeuresStandardMois">'00_Parametres'!$B$7</definedName>
    <definedName name="JoursStandardMois">'00_Parametres'!$B$6</definedName>
    <definedName name="SeuilHS">'00_Parametres'!$B$9</definedName>
    <definedName name="TauxMajorationHS">'00_Parametres'!$B$8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L5" authorId="0">
      <text>
        <r>
          <rPr>
            <charset val="1"/>
            <color theme="1"/>
            <family val="2"/>
            <sz val="11"/>
            <rFont val="Calibri"/>
          </rPr>
          <t>Salaire mensuel de référence. Le taux horaire est calculé automatiquement = Salaire / Heures standard mensuelles (voir Paramètres).</t>
        </r>
      </text>
    </comment>
    <comment ref="M5" authorId="0">
      <text>
        <r>
          <rPr>
            <charset val="1"/>
            <color theme="1"/>
            <family val="2"/>
            <sz val="11"/>
            <rFont val="Calibri"/>
          </rPr>
          <t>Calculé automatiquement. Ne pas modifier.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5" authorId="0">
      <text>
        <r>
          <rPr>
            <charset val="1"/>
            <color theme="1"/>
            <family val="2"/>
            <sz val="11"/>
            <rFont val="Calibri"/>
          </rPr>
          <t>Mettre Oui uniquement si l'Admin autorise le paiement de l'arrivée anticipée pour CETTE ligne.</t>
        </r>
      </text>
    </comment>
    <comment ref="K5" authorId="0">
      <text>
        <r>
          <rPr>
            <charset val="1"/>
            <color theme="1"/>
            <family val="2"/>
            <sz val="11"/>
            <rFont val="Calibri"/>
          </rPr>
          <t>Mettre Oui uniquement si l'Admin autorise le paiement du départ tardif pour CETTE ligne.</t>
        </r>
      </text>
    </comment>
    <comment ref="L5" authorId="0">
      <text>
        <r>
          <rPr>
            <charset val="1"/>
            <color theme="1"/>
            <family val="2"/>
            <sz val="11"/>
            <rFont val="Calibri"/>
          </rPr>
          <t>Heure d'arrivée retenue pour le calcul (plafonnée à l'heure de début sauf validation).</t>
        </r>
      </text>
    </comment>
    <comment ref="M5" authorId="0">
      <text>
        <r>
          <rPr>
            <charset val="1"/>
            <color theme="1"/>
            <family val="2"/>
            <sz val="11"/>
            <rFont val="Calibri"/>
          </rPr>
          <t>Heure de départ retenue pour le calcul (plafonnée à l'heure de fin sauf validation).</t>
        </r>
      </text>
    </comment>
    <comment ref="P5" authorId="0">
      <text>
        <r>
          <rPr>
            <charset val="1"/>
            <color theme="1"/>
            <family val="2"/>
            <sz val="11"/>
            <rFont val="Calibri"/>
          </rPr>
          <t>Temps net = (Départ effectif - Arrivée effective) - Pause. Calculé à la minute près.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harset val="1"/>
            <color theme="1"/>
            <family val="2"/>
            <sz val="11"/>
            <rFont val="Calibri"/>
          </rPr>
          <t>Changez ces dates pour analyser n'importe quelle période (semaine, mois, trimestre...).</t>
        </r>
      </text>
    </comment>
    <comment ref="L11" authorId="0">
      <text>
        <r>
          <rPr>
            <charset val="1"/>
            <color theme="1"/>
            <family val="2"/>
            <sz val="11"/>
            <rFont val="Calibri"/>
          </rPr>
          <t>Salaire Brut Estimé = (Heures Normales × Taux Horaire) + (Heures Supp × Taux HS) + Total Primes de Tâche</t>
        </r>
      </text>
    </comment>
  </commentList>
</comments>
</file>

<file path=xl/sharedStrings.xml><?xml version="1.0" encoding="utf-8"?>
<sst xmlns="http://schemas.openxmlformats.org/spreadsheetml/2006/main" count="815" uniqueCount="344">
  <si>
    <t>GARAGE POLYVALENT JUNIOR — TABLEAU DE BORD RH</t>
  </si>
  <si>
    <t>Mis à jour automatiquement | Fichier professionnel v2.0</t>
  </si>
  <si>
    <t>INDICATEURS CLÉS</t>
  </si>
  <si>
    <t>EFFECTIF TOTAL</t>
  </si>
  <si>
    <t>ACTIFS</t>
  </si>
  <si>
    <t>CDI</t>
  </si>
  <si>
    <t>APPRENTISSAGE</t>
  </si>
  <si>
    <t>MASSE SALARIALE BASE (FCFA)</t>
  </si>
  <si>
    <t>NBR DÉPARTEMENTS</t>
  </si>
  <si>
    <t>RÉPARTITION PAR POSTE</t>
  </si>
  <si>
    <t>RÉPARTITION PAR DÉPARTEMENT</t>
  </si>
  <si>
    <t>Poste</t>
  </si>
  <si>
    <t>Nombre</t>
  </si>
  <si>
    <t>Département</t>
  </si>
  <si>
    <t>Administrateur</t>
  </si>
  <si>
    <t>Administration</t>
  </si>
  <si>
    <t>Secrétaire</t>
  </si>
  <si>
    <t>Direction Atelier</t>
  </si>
  <si>
    <t>Chef des ateliers</t>
  </si>
  <si>
    <t>Atelier Mécanique</t>
  </si>
  <si>
    <t>Mécanicien</t>
  </si>
  <si>
    <t>Carrosserie</t>
  </si>
  <si>
    <t>Tôlier</t>
  </si>
  <si>
    <t>Magasin</t>
  </si>
  <si>
    <t>Magasinier</t>
  </si>
  <si>
    <t>Électronicien</t>
  </si>
  <si>
    <t>Assistant Administratif</t>
  </si>
  <si>
    <t>ACCÈS RAPIDE AUX MODULES</t>
  </si>
  <si>
    <t>Module</t>
  </si>
  <si>
    <t>Description</t>
  </si>
  <si>
    <t>01_Employes</t>
  </si>
  <si>
    <t>Fiche complète de chaque employé (identité, contact, poste, contrat, salaire...)</t>
  </si>
  <si>
    <t>02_Pointage</t>
  </si>
  <si>
    <t>Pointage journalier avec heures d'arrivée/départ + primes de tâche</t>
  </si>
  <si>
    <t>03_Paie</t>
  </si>
  <si>
    <t>Calcul automatique du salaire sur heures réelles + primes + HS</t>
  </si>
  <si>
    <t>04_Conges</t>
  </si>
  <si>
    <t>Demandes et suivi des congés / absences + soldes</t>
  </si>
  <si>
    <t>05_Contrats</t>
  </si>
  <si>
    <t>Informations contractuelles et documents</t>
  </si>
  <si>
    <t>06_Competences</t>
  </si>
  <si>
    <t>Compétences, formations et habilitations</t>
  </si>
  <si>
    <t>07_Planning</t>
  </si>
  <si>
    <t>Planning hebdomadaire / affectations</t>
  </si>
  <si>
    <t>08_Sanctions</t>
  </si>
  <si>
    <t>Avertissements, incidents, remarques</t>
  </si>
  <si>
    <t>09_Contacts</t>
  </si>
  <si>
    <t>Annuaire interne prêt à l'emploi</t>
  </si>
  <si>
    <t>00_Parametres</t>
  </si>
  <si>
    <t>Paramètres globaux (heures standard, majoration HS...)</t>
  </si>
  <si>
    <t>PARAMÈTRES GÉNÉRAUX — GARAGE POLYVALENT JUNIOR</t>
  </si>
  <si>
    <t>HORAIRES DE TRAVAIL HEBDOMADAIRES (100% MODIFIABLES)</t>
  </si>
  <si>
    <t>Modifiez librement les jours travaillés (Oui/Non), les heures d'arrivée/départ et la durée de pause. Tous les calculs se mettent à jour automatiquement.</t>
  </si>
  <si>
    <t>Jour</t>
  </si>
  <si>
    <t>Travaillé ? (Oui/Non)</t>
  </si>
  <si>
    <t>Heure Début</t>
  </si>
  <si>
    <t>Heure Fin</t>
  </si>
  <si>
    <t>Pause (heures)</t>
  </si>
  <si>
    <t>Heures nettes / jour</t>
  </si>
  <si>
    <t>Notes</t>
  </si>
  <si>
    <t>Lundi</t>
  </si>
  <si>
    <t>Oui</t>
  </si>
  <si>
    <t>Jour normal</t>
  </si>
  <si>
    <t>Mardi</t>
  </si>
  <si>
    <t>Mercredi</t>
  </si>
  <si>
    <t>Jeudi</t>
  </si>
  <si>
    <t>Vendredi</t>
  </si>
  <si>
    <t>Samedi</t>
  </si>
  <si>
    <t>Matin seulement</t>
  </si>
  <si>
    <t>Dimanche</t>
  </si>
  <si>
    <t>Non</t>
  </si>
  <si>
    <t>Repos</t>
  </si>
  <si>
    <t>RÉSUMÉ HEBDOMADAIRE (calculé automatiquement)</t>
  </si>
  <si>
    <t>Jours travaillés / semaine</t>
  </si>
  <si>
    <t>Heures nettes / semaine</t>
  </si>
  <si>
    <t>Heures standard / mois (≈ 4,333 semaines)</t>
  </si>
  <si>
    <t>← Utilisée pour calculer le taux horaire des employés</t>
  </si>
  <si>
    <t>PARAMÈTRES GÉNÉRAUX DE CALCUL &amp; RÈGLES DE POINTAGE</t>
  </si>
  <si>
    <t>Heures standard mensuelles (pour taux horaire)</t>
  </si>
  <si>
    <t>Taux majoration Heures Supp. (ex: 1.5 = +50%)</t>
  </si>
  <si>
    <t>Seuil HS journalier (heures) — au-delà = heures supplémentaires</t>
  </si>
  <si>
    <t>Heures standard d'un jour de semaine (référence)</t>
  </si>
  <si>
    <t>Heures standard d'un samedi (référence)</t>
  </si>
  <si>
    <t>RÈGLES DE COMPTABILISATION DES HEURES (modifiables par l'Admin)</t>
  </si>
  <si>
    <t>Comptabiliser les arrivées anticipées ? (Oui = extra payé / Non = plafonné à l'heure de début)</t>
  </si>
  <si>
    <t>Par défaut NON : arriver avant l'heure ne rapporte pas d'heures supplémentaires</t>
  </si>
  <si>
    <t>Comptabiliser les départs tardifs ? (Oui = extra payé / Non = plafonné à l'heure de fin)</t>
  </si>
  <si>
    <t>Par défaut NON : rester après l'heure ne rapporte pas d'heures supplémentaires (sauf validation ligne par ligne)</t>
  </si>
  <si>
    <t>Déduire automatiquement les retards ?</t>
  </si>
  <si>
    <t>Absence non justifiée</t>
  </si>
  <si>
    <t>Déduire automatiquement les départs anticipés ?</t>
  </si>
  <si>
    <t>Congé approuvé</t>
  </si>
  <si>
    <t>M</t>
  </si>
  <si>
    <t>Maladie</t>
  </si>
  <si>
    <t>Arrêt maladie</t>
  </si>
  <si>
    <t>LOGIQUE APPLIQUÉE DANS LE POINTAGE</t>
  </si>
  <si>
    <t>Retard</t>
  </si>
  <si>
    <t>Présent avec retard</t>
  </si>
  <si>
    <t>1. Arrivée avant l'heure de début → considérée comme arrivée à l'heure (sauf si Admin valide l'anticipation sur la ligne).</t>
  </si>
  <si>
    <t>Jour Travaillé partiel</t>
  </si>
  <si>
    <t>Journée partielle</t>
  </si>
  <si>
    <t>2. Départ après l'heure de fin → considéré comme départ à l'heure (sauf si Admin valide le départ tardif sur la ligne).</t>
  </si>
  <si>
    <t>Heures Supplémentaires</t>
  </si>
  <si>
    <t>Journée avec HS</t>
  </si>
  <si>
    <t>3. Arrivée en retard → les minutes de retard sont déduites du temps de travail.</t>
  </si>
  <si>
    <t>Férié</t>
  </si>
  <si>
    <t>Jour férié</t>
  </si>
  <si>
    <t>4. Départ anticipé → les minutes manquantes sont déduites du temps de travail.</t>
  </si>
  <si>
    <t>5. Tous les calculs se font d'abord en minutes, puis conversion en heures décimales (précision maximale).</t>
  </si>
  <si>
    <t>Postes</t>
  </si>
  <si>
    <t>Départements</t>
  </si>
  <si>
    <t>Types de contrat</t>
  </si>
  <si>
    <t>Statuts</t>
  </si>
  <si>
    <t>Types d'absence</t>
  </si>
  <si>
    <t>Actif</t>
  </si>
  <si>
    <t>Congé annuel</t>
  </si>
  <si>
    <t>CDD</t>
  </si>
  <si>
    <t>Inactif</t>
  </si>
  <si>
    <t>Congé maladie</t>
  </si>
  <si>
    <t>Apprentissage</t>
  </si>
  <si>
    <t>Suspendu</t>
  </si>
  <si>
    <t>Congé maternité</t>
  </si>
  <si>
    <t>Stage</t>
  </si>
  <si>
    <t>Démissionnaire</t>
  </si>
  <si>
    <t>Congé sans solde</t>
  </si>
  <si>
    <t>Journalier</t>
  </si>
  <si>
    <t>Licencié</t>
  </si>
  <si>
    <t>Absence injustifiée</t>
  </si>
  <si>
    <t>Direction Générale</t>
  </si>
  <si>
    <t>Prestataire</t>
  </si>
  <si>
    <t>Formation</t>
  </si>
  <si>
    <t>Mission</t>
  </si>
  <si>
    <t>Apprenti</t>
  </si>
  <si>
    <t>Autre</t>
  </si>
  <si>
    <t>INSTRUCTIONS</t>
  </si>
  <si>
    <t>• JAUNE = saisie (modifiable)  |  VERT = calculé automatiquement (ne pas toucher)</t>
  </si>
  <si>
    <t>• Pour changer les jours de travail : mettez Oui ou Non dans la colonne B.</t>
  </si>
  <si>
    <t>• Pour changer les horaires : modifiez Heure Début, Heure Fin et Pause (en heures décimales).</t>
  </si>
  <si>
    <t>• Les heures nettes, le total hebdomadaire et le taux horaire des employés se mettent à jour automatiquement.</t>
  </si>
  <si>
    <t>• Le seuil HS (B23) détermine à partir de combien d'heures dans une journée les heures deviennent supplémentaires.</t>
  </si>
  <si>
    <t>• Exemple actuel : Lun-Ven 7h30-18h (pause 1h) = 9,5h nettes  |  Samedi 7h30-12h = 4,5h nettes</t>
  </si>
  <si>
    <t>REGISTRE DU PERSONNEL — GARAGE POLYVALENT JUNIOR</t>
  </si>
  <si>
    <t>SOURCE DE VÉRITÉ — Toute modification ici se propage automatiquement aux autres feuilles via les formules.</t>
  </si>
  <si>
    <t>Complétez uniquement les cellules JAUNES. Les colonnes vertes sont calculées automatiquement.</t>
  </si>
  <si>
    <t>ID</t>
  </si>
  <si>
    <t>Nom</t>
  </si>
  <si>
    <t>Prénom</t>
  </si>
  <si>
    <t>Nom Complet</t>
  </si>
  <si>
    <t>Téléphone</t>
  </si>
  <si>
    <t>Email</t>
  </si>
  <si>
    <t>Statut</t>
  </si>
  <si>
    <t>Date d'embauche</t>
  </si>
  <si>
    <t>Type de contrat</t>
  </si>
  <si>
    <t>Salaire Base Mensuel (FCFA)</t>
  </si>
  <si>
    <t>Taux Horaire (FCFA)</t>
  </si>
  <si>
    <t>Taux HS (FCFA)</t>
  </si>
  <si>
    <t>N° CNPS</t>
  </si>
  <si>
    <t>Adresse</t>
  </si>
  <si>
    <t>Notes / Observations</t>
  </si>
  <si>
    <t>EMP001</t>
  </si>
  <si>
    <t>Tsafack Ndongmo</t>
  </si>
  <si>
    <t>Symphonien</t>
  </si>
  <si>
    <t>677 89 71 62</t>
  </si>
  <si>
    <t>EMP002</t>
  </si>
  <si>
    <t>Pandja Tchatchoua</t>
  </si>
  <si>
    <t>Syriane</t>
  </si>
  <si>
    <t>656 04 71 31</t>
  </si>
  <si>
    <t>EMP003</t>
  </si>
  <si>
    <t>Takoueta</t>
  </si>
  <si>
    <t>Yvan</t>
  </si>
  <si>
    <t>657 78 99 78</t>
  </si>
  <si>
    <t>EMP004</t>
  </si>
  <si>
    <t>Chekep</t>
  </si>
  <si>
    <t>Faustin</t>
  </si>
  <si>
    <t>672 67 18 01</t>
  </si>
  <si>
    <t>EMP005</t>
  </si>
  <si>
    <t>Abdou</t>
  </si>
  <si>
    <t>673 84 48 12</t>
  </si>
  <si>
    <t>EMP006</t>
  </si>
  <si>
    <t>Nyontyen Si</t>
  </si>
  <si>
    <t>Jean Vinny</t>
  </si>
  <si>
    <t>694 36 28 38</t>
  </si>
  <si>
    <t>EMP007</t>
  </si>
  <si>
    <t>Holé</t>
  </si>
  <si>
    <t>Homsala</t>
  </si>
  <si>
    <t>699 47 09 80</t>
  </si>
  <si>
    <t>holehomsala7@gmail.com</t>
  </si>
  <si>
    <t>EMP008</t>
  </si>
  <si>
    <t>Ebene</t>
  </si>
  <si>
    <t>Ngono</t>
  </si>
  <si>
    <t>653 04 86 11</t>
  </si>
  <si>
    <t>EMP009</t>
  </si>
  <si>
    <t>Tineba</t>
  </si>
  <si>
    <t>Vital Eric</t>
  </si>
  <si>
    <t>698 14 24 06</t>
  </si>
  <si>
    <t>EMP010</t>
  </si>
  <si>
    <t>Deutchoua Tientcheu</t>
  </si>
  <si>
    <t>Christian</t>
  </si>
  <si>
    <t>695 07 89 78 / 678 03 61 47</t>
  </si>
  <si>
    <t>EMP011</t>
  </si>
  <si>
    <t>Fouakouet</t>
  </si>
  <si>
    <t>Youssoufa</t>
  </si>
  <si>
    <t>640 85 90 53 / 620 04 32 29</t>
  </si>
  <si>
    <t>EMP012</t>
  </si>
  <si>
    <t>Ngouamera</t>
  </si>
  <si>
    <t>Adrien Gildas</t>
  </si>
  <si>
    <t>680 09 48 64</t>
  </si>
  <si>
    <t>EMP013</t>
  </si>
  <si>
    <t>Nague Zemdjui</t>
  </si>
  <si>
    <t>Arnaud</t>
  </si>
  <si>
    <t>658 77 57 44</t>
  </si>
  <si>
    <t>arnaudstars@gmail.com</t>
  </si>
  <si>
    <t>EMP014</t>
  </si>
  <si>
    <t>Zo'o Mbarga</t>
  </si>
  <si>
    <t>Jean Loic</t>
  </si>
  <si>
    <t>698 94 92 21</t>
  </si>
  <si>
    <t>POINTAGE GPJ 2026</t>
  </si>
  <si>
    <t>ASTUCE UX : Pour un même jour, saisissez la Date une fois puis copiez-la vers le bas (Ctrl+D). Ou filtrez par date. Les heures se calculent automatiquement.</t>
  </si>
  <si>
    <t>Légende : JAUNE = saisie  |  VERT = calculé auto  |  ORANGE = validation Admin (Oui pour compter l'extra)</t>
  </si>
  <si>
    <t>Date</t>
  </si>
  <si>
    <t>ID Employé</t>
  </si>
  <si>
    <t>H. Début théorique</t>
  </si>
  <si>
    <t>H. Fin théorique</t>
  </si>
  <si>
    <t>Pause (h)</t>
  </si>
  <si>
    <t>Heure Arrivée réelle</t>
  </si>
  <si>
    <t>Heure Départ réelle</t>
  </si>
  <si>
    <t>Valider arrivée anticipée ?</t>
  </si>
  <si>
    <t>Valider départ tardif ?</t>
  </si>
  <si>
    <t>Arrivée effective</t>
  </si>
  <si>
    <t>Départ effectif</t>
  </si>
  <si>
    <t>Minutes de retard</t>
  </si>
  <si>
    <t>Minutes départ anticipé</t>
  </si>
  <si>
    <t>Heures travaillées</t>
  </si>
  <si>
    <t>Heures Normales</t>
  </si>
  <si>
    <t>Heures Supp.</t>
  </si>
  <si>
    <t>Code Présence</t>
  </si>
  <si>
    <t>Prime Tâche (FCFA)</t>
  </si>
  <si>
    <t>Notes / Motif</t>
  </si>
  <si>
    <t>A</t>
  </si>
  <si>
    <t>Arrivé 15 min avant → non compté</t>
  </si>
  <si>
    <t>HS</t>
  </si>
  <si>
    <t>Départ tardif validé Admin</t>
  </si>
  <si>
    <t>R</t>
  </si>
  <si>
    <t>Retard 30 min + départ anticipé 30 min</t>
  </si>
  <si>
    <t>Retard 15 min</t>
  </si>
  <si>
    <t>P</t>
  </si>
  <si>
    <t>Samedi normal 7h30-12h</t>
  </si>
  <si>
    <t>CALCUL DE PAIE — BASÉ SUR LES HEURES RÉELLES + PRIMES DE TÂCHE</t>
  </si>
  <si>
    <t>Sélectionnez la période. Les heures, primes et salaires se calculent automatiquement à partir du Pointage et des paramètres employés.</t>
  </si>
  <si>
    <t>PÉRIODE DE CALCUL</t>
  </si>
  <si>
    <t>Date début</t>
  </si>
  <si>
    <t>Date fin</t>
  </si>
  <si>
    <t>← Modifiez ces dates pour recalculer sur n'importe quelle période</t>
  </si>
  <si>
    <t>SYNTHÈSE PÉRIODE</t>
  </si>
  <si>
    <t>Total Heures Normales</t>
  </si>
  <si>
    <t>Total Heures Supp</t>
  </si>
  <si>
    <t>Total Primes Tâches</t>
  </si>
  <si>
    <t>Masse Salariale Estimée</t>
  </si>
  <si>
    <t>Type Contrat</t>
  </si>
  <si>
    <t>Salaire Base Mensuel</t>
  </si>
  <si>
    <t>Taux Horaire</t>
  </si>
  <si>
    <t>Montant Heures Normales</t>
  </si>
  <si>
    <t>Montant HS</t>
  </si>
  <si>
    <t>Salaire Brut Estimé</t>
  </si>
  <si>
    <t>Jours Présents</t>
  </si>
  <si>
    <t>Observations</t>
  </si>
  <si>
    <t>TOTAUX</t>
  </si>
  <si>
    <t>1. Ce calcul est une ESTIMATION basée sur les heures pointées et les primes saisies. La paie officielle doit être validée par un expert-comptable.</t>
  </si>
  <si>
    <t>2. Le salaire est calculé uniquement sur les heures réellement travaillées + primes de tâche + heures supplémentaires.</t>
  </si>
  <si>
    <t>3. Si un employé a un salaire fixe mensuel indépendant des heures, vous pouvez ajuster manuellement dans la colonne Observations ou créer une règle spécifique.</t>
  </si>
  <si>
    <t>4. Pour ajouter un nouvel employé : ajoutez-le d'abord dans 01_Employes, il apparaîtra automatiquement ici (étendez les formules si besoin).</t>
  </si>
  <si>
    <t>5. Les primes de tâche peuvent être saisies jour par jour dans 02_Pointage ou regroupées sur une seule ligne avec la date souhaitée.</t>
  </si>
  <si>
    <t>GESTION DES CONGÉS ET ABSENCES</t>
  </si>
  <si>
    <t>Enregistrez les demandes. Les soldes sont calculés automatiquement (droit annuel - jours pris).</t>
  </si>
  <si>
    <t>N°</t>
  </si>
  <si>
    <t>Type d'absence</t>
  </si>
  <si>
    <t>Nb jours</t>
  </si>
  <si>
    <t>Motif</t>
  </si>
  <si>
    <t>Statut demande</t>
  </si>
  <si>
    <t>Validé par</t>
  </si>
  <si>
    <t>Date validation</t>
  </si>
  <si>
    <t>Commentaire RH</t>
  </si>
  <si>
    <t>SOLDES DE CONGÉS (calculés automatiquement)</t>
  </si>
  <si>
    <t>Droit annuel (jours)</t>
  </si>
  <si>
    <t>Jours pris (approuvés)</t>
  </si>
  <si>
    <t>Solde restant</t>
  </si>
  <si>
    <t>SUIVI DES CONTRATS DE TRAVAIL</t>
  </si>
  <si>
    <t>Type contrat</t>
  </si>
  <si>
    <t>Durée (mois)</t>
  </si>
  <si>
    <t>Fin période essai</t>
  </si>
  <si>
    <t>Salaire brut (FCFA)</t>
  </si>
  <si>
    <t>Avantages</t>
  </si>
  <si>
    <t>Renouvellement</t>
  </si>
  <si>
    <t>COMPÉTENCES, FORMATIONS &amp; HABILITATIONS</t>
  </si>
  <si>
    <t>Spécialité principale</t>
  </si>
  <si>
    <t>Niveau (1-5)</t>
  </si>
  <si>
    <t>Formations suivies</t>
  </si>
  <si>
    <t>Habilitations / Certifications</t>
  </si>
  <si>
    <t>Logiciels maîtrisés</t>
  </si>
  <si>
    <t>Langues</t>
  </si>
  <si>
    <t>Points forts</t>
  </si>
  <si>
    <t>Axes d'amélioration</t>
  </si>
  <si>
    <t>Dernière évaluation</t>
  </si>
  <si>
    <t>PLANNING HEBDOMADAIRE / AFFECTATIONS</t>
  </si>
  <si>
    <t>Semaine du :</t>
  </si>
  <si>
    <t>au</t>
  </si>
  <si>
    <t>Exemples d'affectation : Atelier – Pont 1 | Magasin | Accueil | Congé | Formation | Extérieur | Carrosserie | Diagnostic...</t>
  </si>
  <si>
    <t>REGISTRE DES INCIDENTS, AVERTISSEMENTS &amp; SANCTIONS</t>
  </si>
  <si>
    <t>Type</t>
  </si>
  <si>
    <t>Description des faits</t>
  </si>
  <si>
    <t>Gravité</t>
  </si>
  <si>
    <t>Décision / Sanction</t>
  </si>
  <si>
    <t>Notifié le</t>
  </si>
  <si>
    <t>ANNUAIRE INTERNE — CONTACTS RAPIDES</t>
  </si>
  <si>
    <t>MODE D'EMPLOI — GESTION DU PERSONNEL PRO</t>
  </si>
  <si>
    <t>OBJECTIF</t>
  </si>
  <si>
    <t>Ce classeur professionnel permet de gérer l'ensemble du personnel du Garage Polyvalent Junior avec automatisation complète des calculs de présence, heures et paie.</t>
  </si>
  <si>
    <t>MODULE</t>
  </si>
  <si>
    <t>UTILISATION</t>
  </si>
  <si>
    <t>Paramètres globaux : heures standard/jour, majoration HS, listes de référence. Modifiez les cellules jaunes selon vos besoins.</t>
  </si>
  <si>
    <t>SOURCE DE VÉRITÉ. Fiche de chaque collaborateur. Complétez les cases jaunes (date d'embauche, salaire de base, CNPS, adresse...). Les taux horaires se calculent automatiquement.</t>
  </si>
  <si>
    <t>Saisissez chaque jour (ou en batch) : Date + ID Employé + Heure Arrivée + Heure Départ + Code Présence + Prime de Tâche éventuelle. Les heures normales et HS se calculent automatiquement.</t>
  </si>
  <si>
    <t>Le cœur du système. Choisissez une période (dates début/fin). Le salaire de chaque employé est calculé automatiquement : (Heures Normales × Taux Horaire) + (HS × Taux HS) + Primes de Tâche.</t>
  </si>
  <si>
    <t>Enregistrez les demandes de congés/absences. Les soldes se mettent à jour automatiquement quand le statut = Approuvé.</t>
  </si>
  <si>
    <t>Suivi des types de contrats, dates et renouvellements. Lié aux données employés.</t>
  </si>
  <si>
    <t>Cartographie des compétences, formations et axes d'amélioration.</t>
  </si>
  <si>
    <t>Planning hebdomadaire d'affectation des équipes.</t>
  </si>
  <si>
    <t>Registre disciplinaire et incidents.</t>
  </si>
  <si>
    <t>Annuaire interne 100% automatique (lié à 01_Employes).</t>
  </si>
  <si>
    <t>RÈGLES D'OR</t>
  </si>
  <si>
    <t>1. Ne modifiez JAMAIS les formules (cellules VERTES).</t>
  </si>
  <si>
    <t>2. Remplissez uniquement les cellules JAUNES (saisie).</t>
  </si>
  <si>
    <t>3. Ajoutez un nouvel employé en bas de la feuille 01_Employes (respectez le format ID : EMP014, EMP015...). Les formules des autres feuilles s'étendront si vous copiez les lignes.</t>
  </si>
  <si>
    <t>4. Pour la présence : une ligne = un employé + un jour. Saisissez les heures au format HH:MM.</t>
  </si>
  <si>
    <t>5. Les primes de tâche se saisissent dans 02_Pointage (colonne K). Vous pouvez en mettre plusieurs par jour ou regrouper.</t>
  </si>
  <si>
    <t>6. Sauvegardez une copie du fichier chaque mois (ex: Paie_Aout_2026.xlsx).</t>
  </si>
  <si>
    <t>7. La paie calculée est une ESTIMATION. Faites toujours valider par un expert-comptable avant paiement.</t>
  </si>
  <si>
    <t>LOGIQUE DE CALCUL DU SALAIRE</t>
  </si>
  <si>
    <t>Taux Horaire = Salaire Base Mensuel ÷ Heures Standard Mensuelles (paramétrable dans 00_Parametres)</t>
  </si>
  <si>
    <t>Heures Normales = MIN(Heures travaillées du jour, Seuil HS)</t>
  </si>
  <si>
    <t>Heures Supplémentaires = MAX(0, Heures travaillées - Seuil HS)</t>
  </si>
  <si>
    <t>Montant Normal = Heures Normales × Taux Horaire</t>
  </si>
  <si>
    <t>Montant HS = Heures Supp × (Taux Horaire × Majoration)</t>
  </si>
  <si>
    <t>Salaire Brut Estimé = Montant Normal + Montant HS + Σ Primes de Tâche de la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</si>
</sst>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m/d/yyyy"/>
    <numFmt numFmtId="166" formatCode="dd/mm/yyyy"/>
    <numFmt numFmtId="167" formatCode="hh:mm"/>
  </numFmts>
  <fonts count="24" x14ac:knownFonts="1">
    <font>
      <color theme="1"/>
      <family val="2"/>
      <scheme val="minor"/>
      <sz val="11"/>
      <name val="Calibri"/>
    </font>
    <font>
      <b/>
      <charset val="1"/>
      <color rgb="FF1F4E79"/>
      <sz val="18"/>
      <name val="Arial"/>
    </font>
    <font>
      <charset val="1"/>
      <color theme="1"/>
      <family val="2"/>
      <sz val="11"/>
      <name val="Calibri"/>
    </font>
    <font>
      <i/>
      <charset val="1"/>
      <color rgb="FF666666"/>
      <sz val="9"/>
      <name val="Arial"/>
    </font>
    <font>
      <b/>
      <charset val="1"/>
      <color rgb="FF1F4E79"/>
      <sz val="12"/>
      <name val="Arial"/>
    </font>
    <font>
      <charset val="1"/>
      <color rgb="FF666666"/>
      <sz val="9"/>
      <name val="Arial"/>
    </font>
    <font>
      <b/>
      <charset val="1"/>
      <color rgb="FF1F4E79"/>
      <sz val="16"/>
      <name val="Arial"/>
    </font>
    <font>
      <b/>
      <charset val="1"/>
      <color rgb="FFFFFFFF"/>
      <sz val="11"/>
      <name val="Arial"/>
    </font>
    <font>
      <charset val="1"/>
      <color rgb="FF008000"/>
      <sz val="10"/>
      <name val="Arial"/>
    </font>
    <font>
      <b/>
      <charset val="1"/>
      <color rgb="FF1F4E79"/>
      <sz val="10"/>
      <name val="Arial"/>
    </font>
    <font>
      <i/>
      <charset val="1"/>
      <color rgb="FFC00000"/>
      <sz val="9"/>
      <name val="Arial"/>
    </font>
    <font>
      <charset val="1"/>
      <sz val="10"/>
      <name val="Arial"/>
    </font>
    <font>
      <b/>
      <charset val="1"/>
      <sz val="10"/>
      <name val="Arial"/>
    </font>
    <font>
      <charset val="1"/>
      <color rgb="FF0000FF"/>
      <sz val="10"/>
      <name val="Arial"/>
    </font>
    <font>
      <charset val="1"/>
      <color rgb="FF008000"/>
      <sz val="9"/>
      <name val="Arial"/>
    </font>
    <font>
      <charset val="1"/>
      <color rgb="FF0000FF"/>
      <sz val="9"/>
      <name val="Arial"/>
    </font>
    <font>
      <charset val="1"/>
      <sz val="9"/>
      <name val="Arial"/>
    </font>
    <font>
      <b/>
      <color rgb="FF1F4E79"/>
      <family val="2"/>
      <sz val="16"/>
      <name val="Arial"/>
    </font>
    <font>
      <b/>
      <charset val="1"/>
      <color rgb="FFFFFFFF"/>
      <sz val="10"/>
      <name val="Arial"/>
    </font>
    <font>
      <charset val="1"/>
      <color rgb="FFFF0000"/>
      <family val="2"/>
      <sz val="11"/>
      <name val="Calibri"/>
    </font>
    <font>
      <color rgb="FFFF0000"/>
      <family val="2"/>
      <sz val="9"/>
      <name val="Arial"/>
    </font>
    <font>
      <color rgb="FF0000FF"/>
      <family val="2"/>
      <sz val="9"/>
      <name val="Arial"/>
    </font>
    <font>
      <b/>
      <charset val="1"/>
      <sz val="11"/>
      <name val="Arial"/>
    </font>
    <font>
      <b/>
      <charset val="1"/>
      <color rgb="FF006600"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D6EAF8"/>
      </patternFill>
    </fill>
    <fill>
      <patternFill patternType="solid">
        <fgColor rgb="FFD6EAF8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0000"/>
        <bgColor rgb="FFC00000"/>
      </patternFill>
    </fill>
    <fill>
      <patternFill patternType="solid">
        <fgColor rgb="FFFF0000"/>
        <bgColor rgb="FFFCE4D6"/>
      </patternFill>
    </fill>
    <fill>
      <patternFill patternType="solid">
        <fgColor rgb="FFFF0000"/>
        <bgColor rgb="FFE2EFDA"/>
      </patternFill>
    </fill>
    <fill>
      <patternFill patternType="solid">
        <fgColor rgb="FFFF0000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C65911"/>
        <bgColor rgb="FF993300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9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20" fontId="13" fillId="7" borderId="1" xfId="0" applyNumberFormat="1" applyFont="1" applyFill="1" applyBorder="1" applyAlignment="1" applyProtection="1">
      <alignment horizontal="center" vertical="center" wrapText="1"/>
      <protection locked="0"/>
    </xf>
    <xf numFmtId="164" fontId="13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6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Protection="1">
      <protection locked="0"/>
    </xf>
    <xf numFmtId="0" fontId="11" fillId="0" borderId="1" xfId="0" applyFont="1" applyBorder="1"/>
    <xf numFmtId="164" fontId="8" fillId="6" borderId="1" xfId="0" applyNumberFormat="1" applyFont="1" applyFill="1" applyBorder="1" applyAlignment="1">
      <alignment horizontal="center" vertical="center" wrapText="1"/>
    </xf>
    <xf numFmtId="164" fontId="14" fillId="6" borderId="1" xfId="0" applyNumberFormat="1" applyFont="1" applyFill="1" applyBorder="1"/>
    <xf numFmtId="3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164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6" borderId="1" xfId="0" applyNumberFormat="1" applyFont="1" applyFill="1" applyBorder="1"/>
    <xf numFmtId="0" fontId="4" fillId="4" borderId="0" xfId="0" applyFont="1" applyFill="1"/>
    <xf numFmtId="0" fontId="3" fillId="5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/>
    <xf numFmtId="0" fontId="13" fillId="7" borderId="1" xfId="0" applyFont="1" applyFill="1" applyBorder="1" applyAlignment="1" applyProtection="1">
      <alignment horizontal="left" vertical="center" wrapText="1"/>
      <protection locked="0"/>
    </xf>
    <xf numFmtId="0" fontId="14" fillId="6" borderId="1" xfId="0" applyFont="1" applyFill="1" applyBorder="1" applyAlignment="1">
      <alignment horizontal="left" vertical="center" wrapText="1"/>
    </xf>
    <xf numFmtId="165" fontId="13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13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14" fillId="6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Protection="1">
      <protection locked="0"/>
    </xf>
    <xf numFmtId="0" fontId="14" fillId="6" borderId="1" xfId="0" applyFont="1" applyFill="1" applyBorder="1"/>
    <xf numFmtId="14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14" fillId="6" borderId="1" xfId="0" applyNumberFormat="1" applyFont="1" applyFill="1" applyBorder="1"/>
    <xf numFmtId="0" fontId="17" fillId="0" borderId="0" xfId="0" applyFont="1"/>
    <xf numFmtId="0" fontId="18" fillId="5" borderId="1" xfId="0" applyFont="1" applyFill="1" applyBorder="1" applyAlignment="1">
      <alignment horizontal="center" vertical="center" wrapText="1"/>
    </xf>
    <xf numFmtId="166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>
      <alignment horizontal="center" vertical="center" wrapText="1"/>
    </xf>
    <xf numFmtId="20" fontId="14" fillId="6" borderId="1" xfId="0" applyNumberFormat="1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167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>
      <alignment horizontal="center" vertical="center" wrapText="1"/>
    </xf>
    <xf numFmtId="1" fontId="14" fillId="6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0" fontId="19" fillId="8" borderId="0" xfId="0" applyFont="1" applyFill="1"/>
    <xf numFmtId="166" fontId="20" fillId="9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10" borderId="1" xfId="0" applyFont="1" applyFill="1" applyBorder="1"/>
    <xf numFmtId="0" fontId="20" fillId="10" borderId="1" xfId="0" applyFont="1" applyFill="1" applyBorder="1" applyAlignment="1">
      <alignment horizontal="center" vertical="center" wrapText="1"/>
    </xf>
    <xf numFmtId="20" fontId="20" fillId="10" borderId="1" xfId="0" applyNumberFormat="1" applyFont="1" applyFill="1" applyBorder="1" applyAlignment="1">
      <alignment horizontal="center" vertical="center" wrapText="1"/>
    </xf>
    <xf numFmtId="164" fontId="20" fillId="10" borderId="1" xfId="0" applyNumberFormat="1" applyFont="1" applyFill="1" applyBorder="1" applyAlignment="1">
      <alignment horizontal="center" vertical="center" wrapText="1"/>
    </xf>
    <xf numFmtId="20" fontId="20" fillId="9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1" fontId="20" fillId="10" borderId="1" xfId="0" applyNumberFormat="1" applyFont="1" applyFill="1" applyBorder="1" applyAlignment="1">
      <alignment horizontal="center" vertical="center" wrapText="1"/>
    </xf>
    <xf numFmtId="2" fontId="20" fillId="10" borderId="1" xfId="0" applyNumberFormat="1" applyFont="1" applyFill="1" applyBorder="1" applyAlignment="1">
      <alignment horizontal="center" vertical="center" wrapText="1"/>
    </xf>
    <xf numFmtId="3" fontId="20" fillId="9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/>
    <xf numFmtId="0" fontId="19" fillId="12" borderId="0" xfId="0" applyFont="1" applyFill="1"/>
    <xf numFmtId="166" fontId="21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2" fillId="6" borderId="1" xfId="0" applyNumberFormat="1" applyFont="1" applyFill="1" applyBorder="1"/>
    <xf numFmtId="3" fontId="2" fillId="6" borderId="1" xfId="0" applyNumberFormat="1" applyFont="1" applyFill="1" applyBorder="1"/>
    <xf numFmtId="3" fontId="22" fillId="4" borderId="1" xfId="0" applyNumberFormat="1" applyFont="1" applyFill="1" applyBorder="1"/>
    <xf numFmtId="0" fontId="8" fillId="6" borderId="1" xfId="0" applyFont="1" applyFill="1" applyBorder="1"/>
    <xf numFmtId="3" fontId="8" fillId="6" borderId="1" xfId="0" applyNumberFormat="1" applyFont="1" applyFill="1" applyBorder="1"/>
    <xf numFmtId="3" fontId="8" fillId="6" borderId="1" xfId="0" applyNumberFormat="1" applyFont="1" applyFill="1" applyBorder="1" applyAlignment="1">
      <alignment horizontal="center" vertical="center" wrapText="1"/>
    </xf>
    <xf numFmtId="3" fontId="23" fillId="13" borderId="1" xfId="0" applyNumberFormat="1" applyFont="1" applyFill="1" applyBorder="1"/>
    <xf numFmtId="2" fontId="8" fillId="6" borderId="1" xfId="0" applyNumberFormat="1" applyFont="1" applyFill="1" applyBorder="1"/>
    <xf numFmtId="0" fontId="2" fillId="14" borderId="1" xfId="0" applyFont="1" applyFill="1" applyBorder="1"/>
    <xf numFmtId="0" fontId="18" fillId="0" borderId="0" xfId="0" applyFont="1"/>
    <xf numFmtId="0" fontId="7" fillId="14" borderId="1" xfId="0" applyFont="1" applyFill="1" applyBorder="1"/>
    <xf numFmtId="2" fontId="7" fillId="14" borderId="1" xfId="0" applyNumberFormat="1" applyFont="1" applyFill="1" applyBorder="1"/>
    <xf numFmtId="3" fontId="7" fillId="14" borderId="1" xfId="0" applyNumberFormat="1" applyFont="1" applyFill="1" applyBorder="1"/>
    <xf numFmtId="3" fontId="7" fillId="15" borderId="1" xfId="0" applyNumberFormat="1" applyFont="1" applyFill="1" applyBorder="1"/>
    <xf numFmtId="0" fontId="18" fillId="14" borderId="0" xfId="0" applyFont="1" applyFill="1"/>
    <xf numFmtId="0" fontId="2" fillId="0" borderId="1" xfId="0" applyFont="1" applyBorder="1" applyAlignment="1">
      <alignment horizontal="center" vertical="center" wrapText="1"/>
    </xf>
    <xf numFmtId="165" fontId="13" fillId="7" borderId="1" xfId="0" applyNumberFormat="1" applyFont="1" applyFill="1" applyBorder="1"/>
    <xf numFmtId="165" fontId="13" fillId="7" borderId="0" xfId="0" applyNumberFormat="1" applyFont="1" applyFill="1" applyProtection="1">
      <protection locked="0"/>
    </xf>
    <xf numFmtId="0" fontId="7" fillId="5" borderId="0" xfId="0" applyFont="1" applyFill="1"/>
    <xf numFmtId="0" fontId="12" fillId="0" borderId="1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mployes" displayName="Employes" ref="A5:Q30" totalsRowShown="1" headerRowCount="0">
  <autoFilter ref="A5:Q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ID"/>
    <tableColumn id="2" name="Nom"/>
    <tableColumn id="3" name="Prénom"/>
    <tableColumn id="4" name="Nom Complet"/>
    <tableColumn id="5" name="Poste"/>
    <tableColumn id="6" name="Département"/>
    <tableColumn id="7" name="Téléphone"/>
    <tableColumn id="8" name="Email"/>
    <tableColumn id="9" name="Statut"/>
    <tableColumn id="10" name="Date d'embauche"/>
    <tableColumn id="11" name="Type de contrat"/>
    <tableColumn id="12" name="Salaire Base Mensuel (FCFA)"/>
    <tableColumn id="13" name="Taux Horaire (FCFA)"/>
    <tableColumn id="14" name="Taux HS (FCFA)"/>
    <tableColumn id="15" name="N° CNPS"/>
    <tableColumn id="16" name="Adresse"/>
    <tableColumn id="17" name="Notes / Observation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ointage" displayName="Pointage" ref="A5:U150" totalsRowShown="1" headerRowCount="0">
  <autoFilter ref="A5:U1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Date"/>
    <tableColumn id="2" name="ID Employé"/>
    <tableColumn id="3" name="Nom Complet"/>
    <tableColumn id="4" name="Jour"/>
    <tableColumn id="5" name="H. Début théorique"/>
    <tableColumn id="6" name="H. Fin théorique"/>
    <tableColumn id="7" name="Pause (h)"/>
    <tableColumn id="8" name="Heure Arrivée réelle"/>
    <tableColumn id="9" name="Heure Départ réelle"/>
    <tableColumn id="10" name="Valider arrivée anticipée ?"/>
    <tableColumn id="11" name="Valider départ tardif ?"/>
    <tableColumn id="12" name="Arrivée effective"/>
    <tableColumn id="13" name="Départ effectif"/>
    <tableColumn id="14" name="Minutes de retard"/>
    <tableColumn id="15" name="Minutes départ anticipé"/>
    <tableColumn id="16" name="Heures travaillées"/>
    <tableColumn id="17" name="Heures Normales"/>
    <tableColumn id="18" name="Heures Supp."/>
    <tableColumn id="19" name="Code Présence"/>
    <tableColumn id="20" name="Prime Tâche (FCFA)"/>
    <tableColumn id="21" name="Notes / Moti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zoomScale="100" zoomScaleNormal="100"/>
  </sheetViews>
  <sheetFormatPr defaultRowHeight="15" outlineLevelRow="0" outlineLevelCol="0" x14ac:dyDescent="0.25" defaultColWidth="8.7109375"/>
  <cols>
    <col min="1" max="1" width="22" customWidth="1"/>
    <col min="2" max="2" width="55" customWidth="1"/>
    <col min="3" max="3" width="12" customWidth="1"/>
    <col min="4" max="4" width="20" customWidth="1"/>
    <col min="5" max="6" width="12" customWidth="1"/>
    <col min="7" max="7" width="14" customWidth="1"/>
    <col min="8" max="8" width="12" customWidth="1"/>
  </cols>
  <sheetData>
    <row r="1" ht="21.7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" customHeight="1" spans="1:1" x14ac:dyDescent="0.25">
      <c r="A2" s="3" t="s">
        <v>1</v>
      </c>
    </row>
    <row r="4" ht="15" customHeight="1" spans="1:4" x14ac:dyDescent="0.25">
      <c r="A4" s="4" t="s">
        <v>2</v>
      </c>
      <c r="B4" s="2"/>
      <c r="C4" s="2"/>
      <c r="D4" s="2"/>
    </row>
    <row r="5" ht="15" customHeight="1" spans="1:7" x14ac:dyDescent="0.25">
      <c r="A5" s="5" t="s">
        <v>3</v>
      </c>
      <c r="C5" s="5" t="s">
        <v>4</v>
      </c>
      <c r="E5" s="5" t="s">
        <v>5</v>
      </c>
      <c r="G5" s="5" t="s">
        <v>6</v>
      </c>
    </row>
    <row r="6" ht="19.5" customHeight="1" spans="1:7" x14ac:dyDescent="0.25">
      <c r="A6" s="6">
        <f>SUMPRODUCT(('01_Employes'!A6:A30&lt;&gt;"")*1)</f>
        <v>14</v>
      </c>
      <c r="C6" s="6">
        <f>COUNTIF('01_Employes'!I6:I30,"Actif")</f>
        <v>14</v>
      </c>
      <c r="E6" s="6">
        <f>COUNTIF('01_Employes'!K6:K30,"CDI")</f>
        <v>4</v>
      </c>
      <c r="G6" s="6">
        <f>COUNTIF('01_Employes'!K6:K30,"Apprentissage")</f>
        <v>9</v>
      </c>
    </row>
    <row r="8" ht="15" customHeight="1" spans="1:4" x14ac:dyDescent="0.25">
      <c r="A8" s="5" t="s">
        <v>7</v>
      </c>
      <c r="D8" s="5" t="s">
        <v>8</v>
      </c>
    </row>
    <row r="9" ht="19.5" customHeight="1" spans="1:4" x14ac:dyDescent="0.25">
      <c r="A9" s="7">
        <f>SUMIF('01_Employes'!I6:I30,"Actif",'01_Employes'!L6:L30)</f>
        <v>1440000</v>
      </c>
      <c r="B9" s="8"/>
      <c r="D9" s="6">
        <v>5</v>
      </c>
    </row>
    <row r="11" ht="15" customHeight="1" spans="1:4" x14ac:dyDescent="0.25">
      <c r="A11" s="9" t="s">
        <v>9</v>
      </c>
      <c r="D11" s="9" t="s">
        <v>10</v>
      </c>
    </row>
    <row r="12" ht="15" customHeight="1" spans="1:5" x14ac:dyDescent="0.25">
      <c r="A12" s="10" t="s">
        <v>11</v>
      </c>
      <c r="B12" s="10" t="s">
        <v>12</v>
      </c>
      <c r="D12" s="10" t="s">
        <v>13</v>
      </c>
      <c r="E12" s="10" t="s">
        <v>12</v>
      </c>
    </row>
    <row r="13" ht="15" customHeight="1" spans="1:5" x14ac:dyDescent="0.25">
      <c r="A13" s="11" t="s">
        <v>14</v>
      </c>
      <c r="B13" s="12">
        <f>COUNTIF('01_Employes'!E$6:E$30,A13)</f>
        <v>1</v>
      </c>
      <c r="D13" s="11" t="s">
        <v>15</v>
      </c>
      <c r="E13" s="12">
        <f>COUNTIF('01_Employes'!F$6:F$30,D13)</f>
        <v>3</v>
      </c>
    </row>
    <row r="14" ht="15" customHeight="1" spans="1:5" x14ac:dyDescent="0.25">
      <c r="A14" s="11" t="s">
        <v>16</v>
      </c>
      <c r="B14" s="12">
        <f>COUNTIF('01_Employes'!E$6:E$30,A14)</f>
        <v>1</v>
      </c>
      <c r="D14" s="11" t="s">
        <v>17</v>
      </c>
      <c r="E14" s="12">
        <f>COUNTIF('01_Employes'!F$6:F$30,D14)</f>
        <v>1</v>
      </c>
    </row>
    <row r="15" ht="15" customHeight="1" spans="1:5" x14ac:dyDescent="0.25">
      <c r="A15" s="11" t="s">
        <v>18</v>
      </c>
      <c r="B15" s="12">
        <f>COUNTIF('01_Employes'!E$6:E$30,A15)</f>
        <v>1</v>
      </c>
      <c r="D15" s="11" t="s">
        <v>19</v>
      </c>
      <c r="E15" s="12">
        <f>COUNTIF('01_Employes'!F$6:F$30,D15)</f>
        <v>8</v>
      </c>
    </row>
    <row r="16" ht="15" customHeight="1" spans="1:5" x14ac:dyDescent="0.25">
      <c r="A16" s="11" t="s">
        <v>20</v>
      </c>
      <c r="B16" s="12">
        <f>COUNTIF('01_Employes'!E$6:E$30,A16)</f>
        <v>7</v>
      </c>
      <c r="D16" s="11" t="s">
        <v>21</v>
      </c>
      <c r="E16" s="12">
        <f>COUNTIF('01_Employes'!F$6:F$30,D16)</f>
        <v>1</v>
      </c>
    </row>
    <row r="17" ht="15" customHeight="1" spans="1:5" x14ac:dyDescent="0.25">
      <c r="A17" s="11" t="s">
        <v>22</v>
      </c>
      <c r="B17" s="12">
        <f>COUNTIF('01_Employes'!E$6:E$30,A17)</f>
        <v>1</v>
      </c>
      <c r="D17" s="11" t="s">
        <v>23</v>
      </c>
      <c r="E17" s="12">
        <f>COUNTIF('01_Employes'!F$6:F$30,D17)</f>
        <v>1</v>
      </c>
    </row>
    <row r="18" ht="15" customHeight="1" spans="1:2" x14ac:dyDescent="0.25">
      <c r="A18" s="11" t="s">
        <v>24</v>
      </c>
      <c r="B18" s="12">
        <f>COUNTIF('01_Employes'!E$6:E$30,A18)</f>
        <v>1</v>
      </c>
    </row>
    <row r="19" ht="15" customHeight="1" spans="1:2" x14ac:dyDescent="0.25">
      <c r="A19" s="11" t="s">
        <v>25</v>
      </c>
      <c r="B19" s="12">
        <f>COUNTIF('01_Employes'!E$6:E$30,A19)</f>
        <v>1</v>
      </c>
    </row>
    <row r="20" ht="15" customHeight="1" spans="1:2" x14ac:dyDescent="0.25">
      <c r="A20" s="11" t="s">
        <v>26</v>
      </c>
      <c r="B20" s="12">
        <f>COUNTIF('01_Employes'!E$6:E$30,A20)</f>
        <v>1</v>
      </c>
    </row>
    <row r="23" ht="15" customHeight="1" spans="1:1" x14ac:dyDescent="0.25">
      <c r="A23" s="9" t="s">
        <v>27</v>
      </c>
    </row>
    <row r="24" ht="15" customHeight="1" spans="1:2" x14ac:dyDescent="0.25">
      <c r="A24" s="13" t="s">
        <v>28</v>
      </c>
      <c r="B24" s="13" t="s">
        <v>29</v>
      </c>
    </row>
    <row r="25" ht="15" customHeight="1" spans="1:2" x14ac:dyDescent="0.25">
      <c r="A25" s="14" t="s">
        <v>30</v>
      </c>
      <c r="B25" s="11" t="s">
        <v>31</v>
      </c>
    </row>
    <row r="26" ht="15" customHeight="1" spans="1:2" x14ac:dyDescent="0.25">
      <c r="A26" s="14" t="s">
        <v>32</v>
      </c>
      <c r="B26" s="11" t="s">
        <v>33</v>
      </c>
    </row>
    <row r="27" ht="15" customHeight="1" spans="1:2" x14ac:dyDescent="0.25">
      <c r="A27" s="14" t="s">
        <v>34</v>
      </c>
      <c r="B27" s="11" t="s">
        <v>35</v>
      </c>
    </row>
    <row r="28" ht="15" customHeight="1" spans="1:2" x14ac:dyDescent="0.25">
      <c r="A28" s="14" t="s">
        <v>36</v>
      </c>
      <c r="B28" s="11" t="s">
        <v>37</v>
      </c>
    </row>
    <row r="29" ht="15" customHeight="1" spans="1:2" x14ac:dyDescent="0.25">
      <c r="A29" s="14" t="s">
        <v>38</v>
      </c>
      <c r="B29" s="11" t="s">
        <v>39</v>
      </c>
    </row>
    <row r="30" ht="15" customHeight="1" spans="1:2" x14ac:dyDescent="0.25">
      <c r="A30" s="14" t="s">
        <v>40</v>
      </c>
      <c r="B30" s="11" t="s">
        <v>41</v>
      </c>
    </row>
    <row r="31" ht="15" customHeight="1" spans="1:2" x14ac:dyDescent="0.25">
      <c r="A31" s="14" t="s">
        <v>42</v>
      </c>
      <c r="B31" s="11" t="s">
        <v>43</v>
      </c>
    </row>
    <row r="32" ht="15" customHeight="1" spans="1:2" x14ac:dyDescent="0.25">
      <c r="A32" s="14" t="s">
        <v>44</v>
      </c>
      <c r="B32" s="11" t="s">
        <v>45</v>
      </c>
    </row>
    <row r="33" ht="15" customHeight="1" spans="1:2" x14ac:dyDescent="0.25">
      <c r="A33" s="14" t="s">
        <v>46</v>
      </c>
      <c r="B33" s="11" t="s">
        <v>47</v>
      </c>
    </row>
    <row r="34" ht="15" customHeight="1" spans="1:2" x14ac:dyDescent="0.25">
      <c r="A34" s="14" t="s">
        <v>48</v>
      </c>
      <c r="B34" s="11" t="s">
        <v>49</v>
      </c>
    </row>
  </sheetData>
  <sheetProtection sheet="1" formatCells="0" formatColumns="0" formatRows="0" autoFilter="0" algorithmName="SHA-512" hashValue="8wlDdGyCUPT8qpYApvbDGQd9hEvtNMpsqcyk9zhpQTm768d0ph/Opa5Aiv4qas6ZglPFmrb0+b3rW2VkPSTwPw==" saltValue="OW1HCGcB7ZWHerACt54LYA==" spinCount="100000"/>
  <mergeCells count="3">
    <mergeCell ref="A1:H1"/>
    <mergeCell ref="A4:D4"/>
    <mergeCell ref="A9:B9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00" zoomScaleNormal="100">
      <selection activeCell="B22" sqref="B22"/>
    </sheetView>
  </sheetViews>
  <sheetFormatPr defaultRowHeight="15" outlineLevelRow="0" outlineLevelCol="0" x14ac:dyDescent="0.25" defaultColWidth="8.7109375"/>
  <cols>
    <col min="1" max="1" width="50" customWidth="1"/>
    <col min="2" max="2" width="20" customWidth="1"/>
    <col min="3" max="4" width="13" customWidth="1"/>
    <col min="5" max="5" width="14" customWidth="1"/>
    <col min="6" max="6" width="17" customWidth="1"/>
    <col min="7" max="7" width="20" customWidth="1"/>
  </cols>
  <sheetData>
    <row r="1" ht="21.75" customHeight="1" spans="1:1" x14ac:dyDescent="0.25">
      <c r="A1" s="1" t="s">
        <v>50</v>
      </c>
    </row>
    <row r="3" ht="15" customHeight="1" spans="1:7" x14ac:dyDescent="0.25">
      <c r="A3" s="4" t="s">
        <v>51</v>
      </c>
      <c r="B3" s="2"/>
      <c r="C3" s="2"/>
      <c r="D3" s="2"/>
      <c r="E3" s="2"/>
      <c r="F3" s="2"/>
      <c r="G3" s="2"/>
    </row>
    <row r="4" ht="15" customHeight="1" spans="1:7" x14ac:dyDescent="0.25">
      <c r="A4" s="15" t="s">
        <v>52</v>
      </c>
      <c r="B4" s="2"/>
      <c r="C4" s="2"/>
      <c r="D4" s="2"/>
      <c r="E4" s="2"/>
      <c r="F4" s="2"/>
      <c r="G4" s="2"/>
    </row>
    <row r="5" ht="15" customHeight="1" spans="1:7" x14ac:dyDescent="0.25">
      <c r="A5" s="16"/>
      <c r="B5" s="16"/>
      <c r="C5" s="16"/>
      <c r="D5" s="16"/>
      <c r="E5" s="16"/>
      <c r="F5" s="16"/>
      <c r="G5" s="16"/>
    </row>
    <row r="6" ht="15" customHeight="1" spans="1:7" x14ac:dyDescent="0.25">
      <c r="A6" s="10" t="s">
        <v>53</v>
      </c>
      <c r="B6" s="10" t="s">
        <v>54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59</v>
      </c>
    </row>
    <row r="7" ht="15" customHeight="1" spans="1:7" x14ac:dyDescent="0.25">
      <c r="A7" s="17" t="s">
        <v>60</v>
      </c>
      <c r="B7" s="18" t="s">
        <v>61</v>
      </c>
      <c r="C7" s="19">
        <v>0.3125</v>
      </c>
      <c r="D7" s="19">
        <v>0.75</v>
      </c>
      <c r="E7" s="20">
        <v>1</v>
      </c>
      <c r="F7" s="21">
        <f t="shared" ref="F7:F13" si="0">IF(B7="Oui",IF(OR(C7="",D7=""),0,ROUND((D7-C7)*24-E7,2)),0)</f>
        <v>9.5</v>
      </c>
      <c r="G7" s="22" t="s">
        <v>62</v>
      </c>
    </row>
    <row r="8" ht="15" customHeight="1" spans="1:7" x14ac:dyDescent="0.25">
      <c r="A8" s="17" t="s">
        <v>63</v>
      </c>
      <c r="B8" s="18" t="s">
        <v>61</v>
      </c>
      <c r="C8" s="19">
        <v>0.3125</v>
      </c>
      <c r="D8" s="19">
        <v>0.75</v>
      </c>
      <c r="E8" s="20">
        <v>1</v>
      </c>
      <c r="F8" s="21">
        <f t="shared" si="0"/>
        <v>9.5</v>
      </c>
      <c r="G8" s="22" t="s">
        <v>62</v>
      </c>
    </row>
    <row r="9" ht="15" customHeight="1" spans="1:7" x14ac:dyDescent="0.25">
      <c r="A9" s="17" t="s">
        <v>64</v>
      </c>
      <c r="B9" s="18" t="s">
        <v>61</v>
      </c>
      <c r="C9" s="19">
        <v>0.3125</v>
      </c>
      <c r="D9" s="19">
        <v>0.75</v>
      </c>
      <c r="E9" s="20">
        <v>1</v>
      </c>
      <c r="F9" s="21">
        <f t="shared" si="0"/>
        <v>9.5</v>
      </c>
      <c r="G9" s="22" t="s">
        <v>62</v>
      </c>
    </row>
    <row r="10" ht="15" customHeight="1" spans="1:7" x14ac:dyDescent="0.25">
      <c r="A10" s="17" t="s">
        <v>65</v>
      </c>
      <c r="B10" s="18" t="s">
        <v>61</v>
      </c>
      <c r="C10" s="19">
        <v>0.3125</v>
      </c>
      <c r="D10" s="19">
        <v>0.75</v>
      </c>
      <c r="E10" s="20">
        <v>1</v>
      </c>
      <c r="F10" s="21">
        <f t="shared" si="0"/>
        <v>9.5</v>
      </c>
      <c r="G10" s="22" t="s">
        <v>62</v>
      </c>
    </row>
    <row r="11" ht="15" customHeight="1" spans="1:7" x14ac:dyDescent="0.25">
      <c r="A11" s="17" t="s">
        <v>66</v>
      </c>
      <c r="B11" s="18" t="s">
        <v>61</v>
      </c>
      <c r="C11" s="19">
        <v>0.3125</v>
      </c>
      <c r="D11" s="19">
        <v>0.75</v>
      </c>
      <c r="E11" s="20">
        <v>1</v>
      </c>
      <c r="F11" s="21">
        <f t="shared" si="0"/>
        <v>9.5</v>
      </c>
      <c r="G11" s="22" t="s">
        <v>62</v>
      </c>
    </row>
    <row r="12" ht="15" customHeight="1" spans="1:7" x14ac:dyDescent="0.25">
      <c r="A12" s="17" t="s">
        <v>67</v>
      </c>
      <c r="B12" s="18" t="s">
        <v>61</v>
      </c>
      <c r="C12" s="19">
        <v>0.3125</v>
      </c>
      <c r="D12" s="19">
        <v>0.5</v>
      </c>
      <c r="E12" s="20">
        <v>0</v>
      </c>
      <c r="F12" s="21">
        <f t="shared" si="0"/>
        <v>4.5</v>
      </c>
      <c r="G12" s="22" t="s">
        <v>68</v>
      </c>
    </row>
    <row r="13" ht="15" customHeight="1" spans="1:7" x14ac:dyDescent="0.25">
      <c r="A13" s="17" t="s">
        <v>69</v>
      </c>
      <c r="B13" s="18" t="s">
        <v>70</v>
      </c>
      <c r="C13" s="18"/>
      <c r="D13" s="18"/>
      <c r="E13" s="20">
        <v>0</v>
      </c>
      <c r="F13" s="21">
        <f t="shared" si="0"/>
        <v>0</v>
      </c>
      <c r="G13" s="22" t="s">
        <v>71</v>
      </c>
    </row>
    <row r="14" ht="15" customHeight="1" spans="1:7" x14ac:dyDescent="0.25">
      <c r="A14" s="16"/>
      <c r="B14" s="16"/>
      <c r="C14" s="16"/>
      <c r="D14" s="16"/>
      <c r="E14" s="16"/>
      <c r="F14" s="16"/>
      <c r="G14" s="16"/>
    </row>
    <row r="15" ht="15" customHeight="1" spans="1:7" x14ac:dyDescent="0.25">
      <c r="A15" s="4" t="s">
        <v>72</v>
      </c>
      <c r="B15" s="2"/>
      <c r="C15" s="2"/>
      <c r="D15" s="16"/>
      <c r="E15" s="16"/>
      <c r="F15" s="16"/>
      <c r="G15" s="16"/>
    </row>
    <row r="16" ht="15" customHeight="1" spans="1:7" x14ac:dyDescent="0.25">
      <c r="A16" s="23" t="s">
        <v>73</v>
      </c>
      <c r="B16" s="12">
        <f>COUNTIF(B7:B13,"Oui")</f>
        <v>6</v>
      </c>
      <c r="C16" s="16"/>
      <c r="D16" s="16"/>
      <c r="E16" s="16"/>
      <c r="F16" s="16"/>
      <c r="G16" s="16"/>
    </row>
    <row r="17" ht="15" customHeight="1" spans="1:7" x14ac:dyDescent="0.25">
      <c r="A17" s="23" t="s">
        <v>74</v>
      </c>
      <c r="B17" s="21">
        <f>SUM(F7:F13)</f>
        <v>52</v>
      </c>
      <c r="C17" s="16"/>
      <c r="D17" s="16"/>
      <c r="E17" s="16"/>
      <c r="F17" s="16"/>
      <c r="G17" s="16"/>
    </row>
    <row r="18" ht="15" customHeight="1" spans="1:7" x14ac:dyDescent="0.25">
      <c r="A18" s="23" t="s">
        <v>75</v>
      </c>
      <c r="B18" s="24">
        <f>ROUND(B17*4.333,1)</f>
        <v>225.3</v>
      </c>
      <c r="C18" s="3" t="s">
        <v>76</v>
      </c>
      <c r="D18" s="16"/>
      <c r="E18" s="16"/>
      <c r="F18" s="16"/>
      <c r="G18" s="16"/>
    </row>
    <row r="19" ht="15" customHeight="1" spans="1:7" x14ac:dyDescent="0.25">
      <c r="A19" s="16"/>
      <c r="B19" s="16"/>
      <c r="C19" s="16"/>
      <c r="D19" s="16"/>
      <c r="E19" s="16"/>
      <c r="F19" s="16"/>
      <c r="G19" s="16"/>
    </row>
    <row r="20" ht="15" customHeight="1" spans="1:7" x14ac:dyDescent="0.25">
      <c r="A20" s="4" t="s">
        <v>77</v>
      </c>
      <c r="B20" s="2"/>
      <c r="C20" s="2"/>
      <c r="D20" s="2"/>
      <c r="E20" s="2"/>
      <c r="F20" s="16"/>
      <c r="G20" s="16"/>
    </row>
    <row r="21" ht="15" customHeight="1" spans="1:7" x14ac:dyDescent="0.25">
      <c r="A21" s="23" t="s">
        <v>78</v>
      </c>
      <c r="B21" s="25">
        <f>B18</f>
        <v>225.3</v>
      </c>
      <c r="C21" s="16"/>
      <c r="D21" s="16"/>
      <c r="E21" s="16"/>
      <c r="F21" s="16"/>
      <c r="G21" s="16"/>
    </row>
    <row r="22" ht="15" customHeight="1" spans="1:7" x14ac:dyDescent="0.25">
      <c r="A22" s="23" t="s">
        <v>79</v>
      </c>
      <c r="B22" s="26">
        <v>1.5</v>
      </c>
      <c r="C22" s="16"/>
      <c r="D22" s="16"/>
      <c r="E22" s="16"/>
      <c r="F22" s="16"/>
      <c r="G22" s="16"/>
    </row>
    <row r="23" ht="15" customHeight="1" spans="1:7" x14ac:dyDescent="0.25">
      <c r="A23" s="23" t="s">
        <v>80</v>
      </c>
      <c r="B23" s="27">
        <v>9.5</v>
      </c>
      <c r="C23" s="16"/>
      <c r="D23" s="16"/>
      <c r="E23" s="16"/>
      <c r="F23" s="16"/>
      <c r="G23" s="16"/>
    </row>
    <row r="24" ht="15" customHeight="1" spans="1:7" x14ac:dyDescent="0.25">
      <c r="A24" s="23" t="s">
        <v>81</v>
      </c>
      <c r="B24" s="28">
        <f>F7</f>
        <v>9.5</v>
      </c>
      <c r="C24" s="16"/>
      <c r="D24" s="16"/>
      <c r="E24" s="16"/>
      <c r="F24" s="16"/>
      <c r="G24" s="16"/>
    </row>
    <row r="25" ht="15" customHeight="1" spans="1:7" x14ac:dyDescent="0.25">
      <c r="A25" s="23" t="s">
        <v>82</v>
      </c>
      <c r="B25" s="28">
        <f>F12</f>
        <v>4.5</v>
      </c>
      <c r="C25" s="16"/>
      <c r="D25" s="16"/>
      <c r="E25" s="16"/>
      <c r="F25" s="16"/>
      <c r="G25" s="16"/>
    </row>
    <row r="26" ht="15" customHeight="1" spans="1:7" x14ac:dyDescent="0.25">
      <c r="A26" s="16"/>
      <c r="B26" s="16"/>
      <c r="C26" s="16"/>
      <c r="D26" s="16"/>
      <c r="E26" s="16"/>
      <c r="F26" s="16"/>
      <c r="G26" s="16"/>
    </row>
    <row r="27" ht="15" customHeight="1" spans="1:7" x14ac:dyDescent="0.25">
      <c r="A27" s="29" t="s">
        <v>83</v>
      </c>
      <c r="B27" s="2"/>
      <c r="C27" s="2"/>
      <c r="D27" s="2"/>
      <c r="E27" s="2"/>
      <c r="F27" s="16"/>
      <c r="G27" s="16"/>
    </row>
    <row r="28" ht="15" customHeight="1" spans="1:7" x14ac:dyDescent="0.25">
      <c r="A28" s="13" t="s">
        <v>84</v>
      </c>
      <c r="B28" s="26" t="s">
        <v>70</v>
      </c>
      <c r="C28" s="30" t="s">
        <v>85</v>
      </c>
      <c r="D28" s="16"/>
      <c r="E28" s="16"/>
      <c r="F28" s="16"/>
      <c r="G28" s="16"/>
    </row>
    <row r="29" ht="15" customHeight="1" spans="1:7" x14ac:dyDescent="0.25">
      <c r="A29" s="17" t="s">
        <v>86</v>
      </c>
      <c r="B29" s="26" t="s">
        <v>70</v>
      </c>
      <c r="C29" s="31" t="s">
        <v>87</v>
      </c>
      <c r="D29" s="16"/>
      <c r="E29" s="16"/>
      <c r="F29" s="16"/>
      <c r="G29" s="16"/>
    </row>
    <row r="30" ht="15" customHeight="1" spans="1:7" x14ac:dyDescent="0.25">
      <c r="A30" s="17" t="s">
        <v>88</v>
      </c>
      <c r="B30" s="26" t="s">
        <v>61</v>
      </c>
      <c r="C30" s="23" t="s">
        <v>89</v>
      </c>
      <c r="D30" s="16"/>
      <c r="E30" s="16"/>
      <c r="F30" s="16"/>
      <c r="G30" s="16"/>
    </row>
    <row r="31" ht="15" customHeight="1" spans="1:7" x14ac:dyDescent="0.25">
      <c r="A31" s="17" t="s">
        <v>90</v>
      </c>
      <c r="B31" s="26" t="s">
        <v>61</v>
      </c>
      <c r="C31" s="23" t="s">
        <v>91</v>
      </c>
      <c r="D31" s="16"/>
      <c r="E31" s="16"/>
      <c r="F31" s="16"/>
      <c r="G31" s="16"/>
    </row>
    <row r="32" ht="15" customHeight="1" spans="1:7" x14ac:dyDescent="0.25">
      <c r="A32" s="17" t="s">
        <v>92</v>
      </c>
      <c r="B32" s="23" t="s">
        <v>93</v>
      </c>
      <c r="C32" s="23" t="s">
        <v>94</v>
      </c>
      <c r="D32" s="16"/>
      <c r="E32" s="16"/>
      <c r="F32" s="16"/>
      <c r="G32" s="16"/>
    </row>
    <row r="33" ht="15" customHeight="1" spans="1:7" x14ac:dyDescent="0.25">
      <c r="A33" s="32" t="s">
        <v>95</v>
      </c>
      <c r="B33" s="23" t="s">
        <v>96</v>
      </c>
      <c r="C33" s="23" t="s">
        <v>97</v>
      </c>
      <c r="D33" s="16"/>
      <c r="E33" s="16"/>
      <c r="F33" s="16"/>
      <c r="G33" s="16"/>
    </row>
    <row r="34" ht="15" customHeight="1" spans="1:7" x14ac:dyDescent="0.25">
      <c r="A34" s="17" t="s">
        <v>98</v>
      </c>
      <c r="B34" s="23" t="s">
        <v>99</v>
      </c>
      <c r="C34" s="23" t="s">
        <v>100</v>
      </c>
      <c r="D34" s="16"/>
      <c r="E34" s="16"/>
      <c r="F34" s="16"/>
      <c r="G34" s="16"/>
    </row>
    <row r="35" ht="15" customHeight="1" spans="1:7" x14ac:dyDescent="0.25">
      <c r="A35" s="17" t="s">
        <v>101</v>
      </c>
      <c r="B35" s="23" t="s">
        <v>102</v>
      </c>
      <c r="C35" s="23" t="s">
        <v>103</v>
      </c>
      <c r="D35" s="16"/>
      <c r="E35" s="16"/>
      <c r="F35" s="16"/>
      <c r="G35" s="16"/>
    </row>
    <row r="36" ht="15" customHeight="1" spans="1:7" x14ac:dyDescent="0.25">
      <c r="A36" s="17" t="s">
        <v>104</v>
      </c>
      <c r="B36" s="23" t="s">
        <v>105</v>
      </c>
      <c r="C36" s="23" t="s">
        <v>106</v>
      </c>
      <c r="D36" s="16"/>
      <c r="E36" s="16"/>
      <c r="F36" s="16"/>
      <c r="G36" s="16"/>
    </row>
    <row r="37" ht="15" customHeight="1" spans="1:7" x14ac:dyDescent="0.25">
      <c r="A37" s="16" t="s">
        <v>107</v>
      </c>
      <c r="B37" s="16"/>
      <c r="C37" s="16"/>
      <c r="D37" s="16"/>
      <c r="E37" s="16"/>
      <c r="F37" s="16"/>
      <c r="G37" s="16"/>
    </row>
    <row r="38" ht="15" customHeight="1" spans="1:7" x14ac:dyDescent="0.25">
      <c r="A38" s="9" t="s">
        <v>108</v>
      </c>
      <c r="B38" s="16"/>
      <c r="C38" s="16"/>
      <c r="D38" s="16"/>
      <c r="E38" s="16"/>
      <c r="F38" s="16"/>
      <c r="G38" s="16"/>
    </row>
    <row r="39" ht="15" customHeight="1" spans="1:7" x14ac:dyDescent="0.25">
      <c r="A39" s="33" t="s">
        <v>109</v>
      </c>
      <c r="B39" s="33" t="s">
        <v>110</v>
      </c>
      <c r="C39" s="33" t="s">
        <v>111</v>
      </c>
      <c r="D39" s="33" t="s">
        <v>112</v>
      </c>
      <c r="E39" s="33" t="s">
        <v>113</v>
      </c>
      <c r="F39" s="16"/>
      <c r="G39" s="16"/>
    </row>
    <row r="40" ht="15" customHeight="1" spans="1:7" x14ac:dyDescent="0.25">
      <c r="A40" s="16" t="s">
        <v>14</v>
      </c>
      <c r="B40" s="16" t="s">
        <v>15</v>
      </c>
      <c r="C40" s="16" t="s">
        <v>5</v>
      </c>
      <c r="D40" s="16" t="s">
        <v>114</v>
      </c>
      <c r="E40" s="16" t="s">
        <v>115</v>
      </c>
      <c r="F40" s="16"/>
      <c r="G40" s="16"/>
    </row>
    <row r="41" ht="15" customHeight="1" spans="1:7" x14ac:dyDescent="0.25">
      <c r="A41" s="16" t="s">
        <v>16</v>
      </c>
      <c r="B41" s="16" t="s">
        <v>17</v>
      </c>
      <c r="C41" s="16" t="s">
        <v>116</v>
      </c>
      <c r="D41" s="16" t="s">
        <v>117</v>
      </c>
      <c r="E41" s="16" t="s">
        <v>118</v>
      </c>
      <c r="F41" s="16"/>
      <c r="G41" s="16"/>
    </row>
    <row r="42" ht="15" customHeight="1" spans="1:7" x14ac:dyDescent="0.25">
      <c r="A42" s="16" t="s">
        <v>18</v>
      </c>
      <c r="B42" s="16" t="s">
        <v>19</v>
      </c>
      <c r="C42" s="16" t="s">
        <v>119</v>
      </c>
      <c r="D42" s="16" t="s">
        <v>120</v>
      </c>
      <c r="E42" s="16" t="s">
        <v>121</v>
      </c>
      <c r="F42" s="16"/>
      <c r="G42" s="16"/>
    </row>
    <row r="43" ht="15" customHeight="1" spans="1:7" x14ac:dyDescent="0.25">
      <c r="A43" s="16" t="s">
        <v>20</v>
      </c>
      <c r="B43" s="16" t="s">
        <v>21</v>
      </c>
      <c r="C43" s="16" t="s">
        <v>122</v>
      </c>
      <c r="D43" s="16" t="s">
        <v>123</v>
      </c>
      <c r="E43" s="16" t="s">
        <v>124</v>
      </c>
      <c r="F43" s="16"/>
      <c r="G43" s="16"/>
    </row>
    <row r="44" ht="15" customHeight="1" spans="1:7" x14ac:dyDescent="0.25">
      <c r="A44" s="16" t="s">
        <v>22</v>
      </c>
      <c r="B44" s="16" t="s">
        <v>23</v>
      </c>
      <c r="C44" s="16" t="s">
        <v>125</v>
      </c>
      <c r="D44" s="16" t="s">
        <v>126</v>
      </c>
      <c r="E44" s="16" t="s">
        <v>127</v>
      </c>
      <c r="F44" s="16"/>
      <c r="G44" s="16"/>
    </row>
    <row r="45" ht="15" customHeight="1" spans="1:7" x14ac:dyDescent="0.25">
      <c r="A45" s="16" t="s">
        <v>24</v>
      </c>
      <c r="B45" s="16" t="s">
        <v>128</v>
      </c>
      <c r="C45" s="16" t="s">
        <v>129</v>
      </c>
      <c r="D45" s="16"/>
      <c r="E45" s="16" t="s">
        <v>130</v>
      </c>
      <c r="F45" s="16"/>
      <c r="G45" s="16"/>
    </row>
    <row r="46" ht="15" customHeight="1" spans="1:7" x14ac:dyDescent="0.25">
      <c r="A46" s="16" t="s">
        <v>25</v>
      </c>
      <c r="B46" s="16"/>
      <c r="C46" s="16"/>
      <c r="D46" s="16"/>
      <c r="E46" s="16" t="s">
        <v>131</v>
      </c>
      <c r="F46" s="16"/>
      <c r="G46" s="16"/>
    </row>
    <row r="47" ht="15" customHeight="1" spans="1:7" x14ac:dyDescent="0.25">
      <c r="A47" s="16" t="s">
        <v>26</v>
      </c>
      <c r="B47" s="16"/>
      <c r="C47" s="16"/>
      <c r="D47" s="16"/>
      <c r="E47" s="16"/>
      <c r="F47" s="16"/>
      <c r="G47" s="16"/>
    </row>
    <row r="48" ht="15" customHeight="1" spans="1:7" x14ac:dyDescent="0.25">
      <c r="A48" s="16" t="s">
        <v>132</v>
      </c>
      <c r="B48" s="16"/>
      <c r="C48" s="16"/>
      <c r="D48" s="16"/>
      <c r="E48" s="16"/>
      <c r="F48" s="16"/>
      <c r="G48" s="16"/>
    </row>
    <row r="49" ht="15" customHeight="1" spans="1:7" x14ac:dyDescent="0.25">
      <c r="A49" s="16" t="s">
        <v>133</v>
      </c>
      <c r="B49" s="16"/>
      <c r="C49" s="16"/>
      <c r="D49" s="16"/>
      <c r="E49" s="16"/>
      <c r="F49" s="16"/>
      <c r="G49" s="16"/>
    </row>
    <row r="50" ht="15" customHeight="1" spans="1:7" x14ac:dyDescent="0.25">
      <c r="A50" s="16"/>
      <c r="B50" s="16"/>
      <c r="C50" s="16"/>
      <c r="D50" s="16"/>
      <c r="E50" s="16"/>
      <c r="F50" s="16"/>
      <c r="G50" s="16"/>
    </row>
    <row r="51" ht="15" customHeight="1" spans="1:7" x14ac:dyDescent="0.25">
      <c r="A51" s="9"/>
      <c r="B51" s="16"/>
      <c r="C51" s="16"/>
      <c r="D51" s="16"/>
      <c r="E51" s="16"/>
      <c r="F51" s="16"/>
      <c r="G51" s="16"/>
    </row>
    <row r="52" ht="15" customHeight="1" spans="1:7" x14ac:dyDescent="0.25">
      <c r="A52" s="9" t="s">
        <v>134</v>
      </c>
      <c r="B52" s="16"/>
      <c r="C52" s="16"/>
      <c r="D52" s="16"/>
      <c r="E52" s="16"/>
      <c r="F52" s="16"/>
      <c r="G52" s="16"/>
    </row>
    <row r="53" ht="15" customHeight="1" spans="1:7" x14ac:dyDescent="0.25">
      <c r="A53" s="16" t="s">
        <v>135</v>
      </c>
      <c r="B53" s="16"/>
      <c r="C53" s="16"/>
      <c r="D53" s="16"/>
      <c r="E53" s="16"/>
      <c r="F53" s="16"/>
      <c r="G53" s="16"/>
    </row>
    <row r="54" ht="15" customHeight="1" spans="1:7" x14ac:dyDescent="0.25">
      <c r="A54" s="16" t="s">
        <v>136</v>
      </c>
      <c r="B54" s="16"/>
      <c r="C54" s="16"/>
      <c r="D54" s="16"/>
      <c r="E54" s="16"/>
      <c r="F54" s="16"/>
      <c r="G54" s="16"/>
    </row>
    <row r="55" ht="15" customHeight="1" spans="1:7" x14ac:dyDescent="0.25">
      <c r="A55" s="16" t="s">
        <v>137</v>
      </c>
      <c r="B55" s="16"/>
      <c r="C55" s="16"/>
      <c r="D55" s="16"/>
      <c r="E55" s="16"/>
      <c r="F55" s="16"/>
      <c r="G55" s="16"/>
    </row>
    <row r="56" ht="15" customHeight="1" spans="1:7" x14ac:dyDescent="0.25">
      <c r="A56" s="16" t="s">
        <v>138</v>
      </c>
      <c r="B56" s="16"/>
      <c r="C56" s="16"/>
      <c r="D56" s="16"/>
      <c r="E56" s="16"/>
      <c r="F56" s="16"/>
      <c r="G56" s="16"/>
    </row>
    <row r="57" ht="15" customHeight="1" spans="1:7" x14ac:dyDescent="0.25">
      <c r="A57" s="16" t="s">
        <v>139</v>
      </c>
      <c r="B57" s="16"/>
      <c r="C57" s="16"/>
      <c r="D57" s="16"/>
      <c r="E57" s="16"/>
      <c r="F57" s="16"/>
      <c r="G57" s="16"/>
    </row>
    <row r="58" ht="15" customHeight="1" spans="1:7" x14ac:dyDescent="0.25">
      <c r="A58" s="16" t="s">
        <v>140</v>
      </c>
      <c r="B58" s="16"/>
      <c r="C58" s="16"/>
      <c r="D58" s="16"/>
      <c r="E58" s="16"/>
      <c r="F58" s="16"/>
      <c r="G58" s="16"/>
    </row>
    <row r="59" ht="15" customHeight="1" spans="1:7" x14ac:dyDescent="0.25">
      <c r="A59" s="16"/>
      <c r="B59" s="16"/>
      <c r="C59" s="16"/>
      <c r="D59" s="16"/>
      <c r="E59" s="16"/>
      <c r="F59" s="16"/>
      <c r="G59" s="16"/>
    </row>
  </sheetData>
  <sheetProtection sheet="1" formatCells="0" formatColumns="0" formatRows="0" autoFilter="0" algorithmName="SHA-512" hashValue="pfSBVQO2w/yuLWscugDNEy5NzVARUyLNvWkIB9p++jMAUP35JVyKh8cI/zQgags34j481QZikjqtB3Wz76jAGw==" saltValue="3ifT015+dK57A3VMl6OgLQ==" spinCount="100000"/>
  <mergeCells count="5">
    <mergeCell ref="A3:G3"/>
    <mergeCell ref="A4:G4"/>
    <mergeCell ref="A15:C15"/>
    <mergeCell ref="A20:E20"/>
    <mergeCell ref="A27:E27"/>
  </mergeCells>
  <dataValidations count="3">
    <dataValidation type="list" sqref="B10:B13">
      <formula1>"Oui,Non"</formula1>
      <formula2>0</formula2>
    </dataValidation>
    <dataValidation type="list" sqref="B28:B31">
      <formula1>"Oui,Non"</formula1>
      <formula2>0</formula2>
    </dataValidation>
    <dataValidation type="list" sqref="B7:B13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 zoomScale="100" zoomScaleNormal="100">
      <pane ySplit="5" topLeftCell="A9" activePane="bottomLeft" state="frozen"/>
      <selection pane="bottomLeft" activeCell="A15" sqref="A15"/>
    </sheetView>
  </sheetViews>
  <sheetFormatPr defaultRowHeight="15" outlineLevelRow="0" outlineLevelCol="0" x14ac:dyDescent="0.25" defaultColWidth="8.7109375"/>
  <cols>
    <col min="1" max="1" width="10" customWidth="1"/>
    <col min="2" max="2" width="20" customWidth="1"/>
    <col min="3" max="3" width="15" customWidth="1"/>
    <col min="4" max="4" width="28" customWidth="1"/>
    <col min="5" max="6" width="18" customWidth="1"/>
    <col min="7" max="7" width="22" customWidth="1"/>
    <col min="8" max="8" width="25" customWidth="1"/>
    <col min="9" max="9" width="12" customWidth="1"/>
    <col min="10" max="11" width="14" customWidth="1"/>
    <col min="12" max="12" width="18" customWidth="1"/>
    <col min="13" max="13" width="14" customWidth="1"/>
    <col min="14" max="14" width="12" customWidth="1"/>
    <col min="15" max="15" width="14" customWidth="1"/>
    <col min="16" max="17" width="25" customWidth="1"/>
  </cols>
  <sheetData>
    <row r="1" ht="21.75" customHeight="1" spans="1:16" x14ac:dyDescent="0.25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" customHeight="1" spans="1:16" x14ac:dyDescent="0.25">
      <c r="A2" s="15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" customHeight="1" spans="1:16" x14ac:dyDescent="0.25">
      <c r="A3" s="34" t="s">
        <v>143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30" customHeight="1" spans="1:17" x14ac:dyDescent="0.25">
      <c r="A5" s="10" t="s">
        <v>144</v>
      </c>
      <c r="B5" s="10" t="s">
        <v>145</v>
      </c>
      <c r="C5" s="10" t="s">
        <v>146</v>
      </c>
      <c r="D5" s="10" t="s">
        <v>147</v>
      </c>
      <c r="E5" s="10" t="s">
        <v>11</v>
      </c>
      <c r="F5" s="10" t="s">
        <v>13</v>
      </c>
      <c r="G5" s="10" t="s">
        <v>148</v>
      </c>
      <c r="H5" s="10" t="s">
        <v>149</v>
      </c>
      <c r="I5" s="10" t="s">
        <v>150</v>
      </c>
      <c r="J5" s="10" t="s">
        <v>151</v>
      </c>
      <c r="K5" s="10" t="s">
        <v>152</v>
      </c>
      <c r="L5" s="10" t="s">
        <v>153</v>
      </c>
      <c r="M5" s="10" t="s">
        <v>154</v>
      </c>
      <c r="N5" s="10" t="s">
        <v>155</v>
      </c>
      <c r="O5" s="10" t="s">
        <v>156</v>
      </c>
      <c r="P5" s="10" t="s">
        <v>157</v>
      </c>
      <c r="Q5" s="10" t="s">
        <v>158</v>
      </c>
    </row>
    <row r="6" ht="15" customHeight="1" spans="1:17" x14ac:dyDescent="0.25">
      <c r="A6" s="18" t="s">
        <v>159</v>
      </c>
      <c r="B6" s="35" t="s">
        <v>160</v>
      </c>
      <c r="C6" s="35" t="s">
        <v>161</v>
      </c>
      <c r="D6" s="36" t="str">
        <f t="shared" ref="D6:D18" si="0">TRIM(B6&amp;" "&amp;C6)</f>
        <v>Tsafack Ndongmo Symphonien</v>
      </c>
      <c r="E6" s="35" t="s">
        <v>14</v>
      </c>
      <c r="F6" s="35" t="s">
        <v>15</v>
      </c>
      <c r="G6" s="35" t="s">
        <v>162</v>
      </c>
      <c r="H6" s="35"/>
      <c r="I6" s="18" t="s">
        <v>114</v>
      </c>
      <c r="J6" s="37"/>
      <c r="K6" s="18" t="s">
        <v>5</v>
      </c>
      <c r="L6" s="38">
        <v>150000</v>
      </c>
      <c r="M6" s="39">
        <f>IF(L6="","",ROUND(L6/'00_Parametres'!$B$21,0))</f>
        <v>666</v>
      </c>
      <c r="N6" s="39">
        <f>IF(M6="","",ROUND(M6*'00_Parametres'!$B$22,0))</f>
        <v>999</v>
      </c>
      <c r="O6" s="35"/>
      <c r="P6" s="35"/>
      <c r="Q6" s="35"/>
    </row>
    <row r="7" ht="15" customHeight="1" spans="1:17" x14ac:dyDescent="0.25">
      <c r="A7" s="18" t="s">
        <v>163</v>
      </c>
      <c r="B7" s="35" t="s">
        <v>164</v>
      </c>
      <c r="C7" s="35" t="s">
        <v>165</v>
      </c>
      <c r="D7" s="36" t="str">
        <f t="shared" si="0"/>
        <v>Pandja Tchatchoua Syriane</v>
      </c>
      <c r="E7" s="35" t="s">
        <v>16</v>
      </c>
      <c r="F7" s="35" t="s">
        <v>15</v>
      </c>
      <c r="G7" s="35" t="s">
        <v>166</v>
      </c>
      <c r="H7" s="35"/>
      <c r="I7" s="18" t="s">
        <v>114</v>
      </c>
      <c r="J7" s="37"/>
      <c r="K7" s="18" t="s">
        <v>5</v>
      </c>
      <c r="L7" s="38">
        <v>100000</v>
      </c>
      <c r="M7" s="39">
        <f>IF(L7="","",ROUND(L7/'00_Parametres'!$B$21,0))</f>
        <v>444</v>
      </c>
      <c r="N7" s="39">
        <f>IF(M7="","",ROUND(M7*'00_Parametres'!$B$22,0))</f>
        <v>666</v>
      </c>
      <c r="O7" s="35"/>
      <c r="P7" s="35"/>
      <c r="Q7" s="35"/>
    </row>
    <row r="8" ht="15" customHeight="1" spans="1:17" x14ac:dyDescent="0.25">
      <c r="A8" s="18" t="s">
        <v>167</v>
      </c>
      <c r="B8" s="35" t="s">
        <v>168</v>
      </c>
      <c r="C8" s="35" t="s">
        <v>169</v>
      </c>
      <c r="D8" s="36" t="str">
        <f t="shared" si="0"/>
        <v>Takoueta Yvan</v>
      </c>
      <c r="E8" s="35" t="s">
        <v>18</v>
      </c>
      <c r="F8" s="35" t="s">
        <v>17</v>
      </c>
      <c r="G8" s="35" t="s">
        <v>170</v>
      </c>
      <c r="H8" s="35"/>
      <c r="I8" s="18" t="s">
        <v>114</v>
      </c>
      <c r="J8" s="37"/>
      <c r="K8" s="18" t="s">
        <v>5</v>
      </c>
      <c r="L8" s="38">
        <v>150000</v>
      </c>
      <c r="M8" s="39">
        <f>IF(L8="","",ROUND(L8/'00_Parametres'!$B$21,0))</f>
        <v>666</v>
      </c>
      <c r="N8" s="39">
        <f>IF(M8="","",ROUND(M8*'00_Parametres'!$B$22,0))</f>
        <v>999</v>
      </c>
      <c r="O8" s="35"/>
      <c r="P8" s="35"/>
      <c r="Q8" s="35"/>
    </row>
    <row r="9" ht="15" customHeight="1" spans="1:17" x14ac:dyDescent="0.25">
      <c r="A9" s="18" t="s">
        <v>171</v>
      </c>
      <c r="B9" s="35" t="s">
        <v>172</v>
      </c>
      <c r="C9" s="35" t="s">
        <v>173</v>
      </c>
      <c r="D9" s="36" t="str">
        <f t="shared" si="0"/>
        <v>Chekep Faustin</v>
      </c>
      <c r="E9" s="35" t="s">
        <v>20</v>
      </c>
      <c r="F9" s="35" t="s">
        <v>19</v>
      </c>
      <c r="G9" s="35" t="s">
        <v>174</v>
      </c>
      <c r="H9" s="35"/>
      <c r="I9" s="18" t="s">
        <v>114</v>
      </c>
      <c r="J9" s="37"/>
      <c r="K9" s="18" t="s">
        <v>5</v>
      </c>
      <c r="L9" s="38">
        <v>120000</v>
      </c>
      <c r="M9" s="39">
        <f>IF(L9="","",ROUND(L9/'00_Parametres'!$B$21,0))</f>
        <v>533</v>
      </c>
      <c r="N9" s="39">
        <f>IF(M9="","",ROUND(M9*'00_Parametres'!$B$22,0))</f>
        <v>800</v>
      </c>
      <c r="O9" s="35"/>
      <c r="P9" s="35"/>
      <c r="Q9" s="35"/>
    </row>
    <row r="10" ht="15" customHeight="1" spans="1:17" x14ac:dyDescent="0.25">
      <c r="A10" s="18" t="s">
        <v>175</v>
      </c>
      <c r="B10" s="35" t="s">
        <v>176</v>
      </c>
      <c r="C10" s="35"/>
      <c r="D10" s="36" t="str">
        <f t="shared" si="0"/>
        <v>Abdou</v>
      </c>
      <c r="E10" s="35" t="s">
        <v>22</v>
      </c>
      <c r="F10" s="35" t="s">
        <v>21</v>
      </c>
      <c r="G10" s="35" t="s">
        <v>177</v>
      </c>
      <c r="H10" s="35"/>
      <c r="I10" s="18" t="s">
        <v>114</v>
      </c>
      <c r="J10" s="37"/>
      <c r="K10" s="18" t="s">
        <v>119</v>
      </c>
      <c r="L10" s="38">
        <v>80000</v>
      </c>
      <c r="M10" s="39">
        <f>IF(L10="","",ROUND(L10/'00_Parametres'!$B$21,0))</f>
        <v>355</v>
      </c>
      <c r="N10" s="39">
        <f>IF(M10="","",ROUND(M10*'00_Parametres'!$B$22,0))</f>
        <v>533</v>
      </c>
      <c r="O10" s="35"/>
      <c r="P10" s="35"/>
      <c r="Q10" s="35"/>
    </row>
    <row r="11" ht="15" customHeight="1" spans="1:17" x14ac:dyDescent="0.25">
      <c r="A11" s="18" t="s">
        <v>178</v>
      </c>
      <c r="B11" s="35" t="s">
        <v>179</v>
      </c>
      <c r="C11" s="35" t="s">
        <v>180</v>
      </c>
      <c r="D11" s="36" t="str">
        <f t="shared" si="0"/>
        <v>Nyontyen Si Jean Vinny</v>
      </c>
      <c r="E11" s="35" t="s">
        <v>20</v>
      </c>
      <c r="F11" s="35" t="s">
        <v>19</v>
      </c>
      <c r="G11" s="35" t="s">
        <v>181</v>
      </c>
      <c r="H11" s="35"/>
      <c r="I11" s="18" t="s">
        <v>114</v>
      </c>
      <c r="J11" s="37"/>
      <c r="K11" s="18" t="s">
        <v>119</v>
      </c>
      <c r="L11" s="38">
        <v>80000</v>
      </c>
      <c r="M11" s="39">
        <f>IF(L11="","",ROUND(L11/'00_Parametres'!$B$21,0))</f>
        <v>355</v>
      </c>
      <c r="N11" s="39">
        <f>IF(M11="","",ROUND(M11*'00_Parametres'!$B$22,0))</f>
        <v>533</v>
      </c>
      <c r="O11" s="35"/>
      <c r="P11" s="35"/>
      <c r="Q11" s="35"/>
    </row>
    <row r="12" ht="15" customHeight="1" spans="1:17" x14ac:dyDescent="0.25">
      <c r="A12" s="18" t="s">
        <v>182</v>
      </c>
      <c r="B12" s="35" t="s">
        <v>183</v>
      </c>
      <c r="C12" s="35" t="s">
        <v>184</v>
      </c>
      <c r="D12" s="36" t="str">
        <f t="shared" si="0"/>
        <v>Holé Homsala</v>
      </c>
      <c r="E12" s="35" t="s">
        <v>24</v>
      </c>
      <c r="F12" s="35" t="s">
        <v>23</v>
      </c>
      <c r="G12" s="35" t="s">
        <v>185</v>
      </c>
      <c r="H12" s="35" t="s">
        <v>186</v>
      </c>
      <c r="I12" s="18" t="s">
        <v>114</v>
      </c>
      <c r="J12" s="37"/>
      <c r="K12" s="18" t="s">
        <v>119</v>
      </c>
      <c r="L12" s="38">
        <v>80000</v>
      </c>
      <c r="M12" s="39">
        <f>IF(L12="","",ROUND(L12/'00_Parametres'!$B$21,0))</f>
        <v>355</v>
      </c>
      <c r="N12" s="39">
        <f>IF(M12="","",ROUND(M12*'00_Parametres'!$B$22,0))</f>
        <v>533</v>
      </c>
      <c r="O12" s="35"/>
      <c r="P12" s="35"/>
      <c r="Q12" s="35"/>
    </row>
    <row r="13" ht="15" customHeight="1" spans="1:17" x14ac:dyDescent="0.25">
      <c r="A13" s="18" t="s">
        <v>187</v>
      </c>
      <c r="B13" s="35" t="s">
        <v>188</v>
      </c>
      <c r="C13" s="35" t="s">
        <v>189</v>
      </c>
      <c r="D13" s="36" t="str">
        <f t="shared" si="0"/>
        <v>Ebene Ngono</v>
      </c>
      <c r="E13" s="35" t="s">
        <v>20</v>
      </c>
      <c r="F13" s="35" t="s">
        <v>19</v>
      </c>
      <c r="G13" s="35" t="s">
        <v>190</v>
      </c>
      <c r="H13" s="35"/>
      <c r="I13" s="18" t="s">
        <v>114</v>
      </c>
      <c r="J13" s="37"/>
      <c r="K13" s="18" t="s">
        <v>119</v>
      </c>
      <c r="L13" s="38">
        <v>80000</v>
      </c>
      <c r="M13" s="39">
        <f>IF(L13="","",ROUND(L13/'00_Parametres'!$B$21,0))</f>
        <v>355</v>
      </c>
      <c r="N13" s="39">
        <f>IF(M13="","",ROUND(M13*'00_Parametres'!$B$22,0))</f>
        <v>533</v>
      </c>
      <c r="O13" s="35"/>
      <c r="P13" s="35"/>
      <c r="Q13" s="35"/>
    </row>
    <row r="14" ht="15" customHeight="1" spans="1:17" x14ac:dyDescent="0.25">
      <c r="A14" s="18" t="s">
        <v>191</v>
      </c>
      <c r="B14" s="35" t="s">
        <v>192</v>
      </c>
      <c r="C14" s="35" t="s">
        <v>193</v>
      </c>
      <c r="D14" s="36" t="str">
        <f t="shared" si="0"/>
        <v>Tineba Vital Eric</v>
      </c>
      <c r="E14" s="35" t="s">
        <v>20</v>
      </c>
      <c r="F14" s="35" t="s">
        <v>19</v>
      </c>
      <c r="G14" s="35" t="s">
        <v>194</v>
      </c>
      <c r="H14" s="35"/>
      <c r="I14" s="18" t="s">
        <v>114</v>
      </c>
      <c r="J14" s="37"/>
      <c r="K14" s="18" t="s">
        <v>119</v>
      </c>
      <c r="L14" s="38">
        <v>80000</v>
      </c>
      <c r="M14" s="39">
        <f>IF(L14="","",ROUND(L14/'00_Parametres'!$B$21,0))</f>
        <v>355</v>
      </c>
      <c r="N14" s="39">
        <f>IF(M14="","",ROUND(M14*'00_Parametres'!$B$22,0))</f>
        <v>533</v>
      </c>
      <c r="O14" s="35"/>
      <c r="P14" s="35"/>
      <c r="Q14" s="35"/>
    </row>
    <row r="15" ht="23.25" customHeight="1" spans="1:17" x14ac:dyDescent="0.25">
      <c r="A15" s="18" t="s">
        <v>195</v>
      </c>
      <c r="B15" s="35" t="s">
        <v>196</v>
      </c>
      <c r="C15" s="35" t="s">
        <v>197</v>
      </c>
      <c r="D15" s="36" t="str">
        <f t="shared" si="0"/>
        <v>Deutchoua Tientcheu Christian</v>
      </c>
      <c r="E15" s="35" t="s">
        <v>20</v>
      </c>
      <c r="F15" s="35" t="s">
        <v>19</v>
      </c>
      <c r="G15" s="35" t="s">
        <v>198</v>
      </c>
      <c r="H15" s="35"/>
      <c r="I15" s="18" t="s">
        <v>114</v>
      </c>
      <c r="J15" s="37"/>
      <c r="K15" s="18" t="s">
        <v>119</v>
      </c>
      <c r="L15" s="38">
        <v>80000</v>
      </c>
      <c r="M15" s="39">
        <f>IF(L15="","",ROUND(L15/'00_Parametres'!$B$21,0))</f>
        <v>355</v>
      </c>
      <c r="N15" s="39">
        <f>IF(M15="","",ROUND(M15*'00_Parametres'!$B$22,0))</f>
        <v>533</v>
      </c>
      <c r="O15" s="35"/>
      <c r="P15" s="35"/>
      <c r="Q15" s="35"/>
    </row>
    <row r="16" ht="23.25" customHeight="1" spans="1:17" x14ac:dyDescent="0.25">
      <c r="A16" s="18" t="s">
        <v>199</v>
      </c>
      <c r="B16" s="35" t="s">
        <v>200</v>
      </c>
      <c r="C16" s="35" t="s">
        <v>201</v>
      </c>
      <c r="D16" s="36" t="str">
        <f t="shared" si="0"/>
        <v>Fouakouet Youssoufa</v>
      </c>
      <c r="E16" s="35" t="s">
        <v>25</v>
      </c>
      <c r="F16" s="35" t="s">
        <v>19</v>
      </c>
      <c r="G16" s="35" t="s">
        <v>202</v>
      </c>
      <c r="H16" s="35"/>
      <c r="I16" s="18" t="s">
        <v>114</v>
      </c>
      <c r="J16" s="37"/>
      <c r="K16" s="18" t="s">
        <v>119</v>
      </c>
      <c r="L16" s="38">
        <v>80000</v>
      </c>
      <c r="M16" s="39">
        <f>IF(L16="","",ROUND(L16/'00_Parametres'!$B$21,0))</f>
        <v>355</v>
      </c>
      <c r="N16" s="39">
        <f>IF(M16="","",ROUND(M16*'00_Parametres'!$B$22,0))</f>
        <v>533</v>
      </c>
      <c r="O16" s="35"/>
      <c r="P16" s="35"/>
      <c r="Q16" s="35"/>
    </row>
    <row r="17" ht="15" customHeight="1" spans="1:17" x14ac:dyDescent="0.25">
      <c r="A17" s="18" t="s">
        <v>203</v>
      </c>
      <c r="B17" s="35" t="s">
        <v>204</v>
      </c>
      <c r="C17" s="35" t="s">
        <v>205</v>
      </c>
      <c r="D17" s="36" t="str">
        <f t="shared" si="0"/>
        <v>Ngouamera Adrien Gildas</v>
      </c>
      <c r="E17" s="35" t="s">
        <v>20</v>
      </c>
      <c r="F17" s="35" t="s">
        <v>19</v>
      </c>
      <c r="G17" s="35" t="s">
        <v>206</v>
      </c>
      <c r="H17" s="35"/>
      <c r="I17" s="18" t="s">
        <v>114</v>
      </c>
      <c r="J17" s="37"/>
      <c r="K17" s="18" t="s">
        <v>119</v>
      </c>
      <c r="L17" s="38">
        <v>80000</v>
      </c>
      <c r="M17" s="39">
        <f>IF(L17="","",ROUND(L17/'00_Parametres'!$B$21,0))</f>
        <v>355</v>
      </c>
      <c r="N17" s="39">
        <f>IF(M17="","",ROUND(M17*'00_Parametres'!$B$22,0))</f>
        <v>533</v>
      </c>
      <c r="O17" s="35"/>
      <c r="P17" s="35"/>
      <c r="Q17" s="35"/>
    </row>
    <row r="18" ht="23.25" customHeight="1" spans="1:17" x14ac:dyDescent="0.25">
      <c r="A18" s="18" t="s">
        <v>207</v>
      </c>
      <c r="B18" s="35" t="s">
        <v>208</v>
      </c>
      <c r="C18" s="35" t="s">
        <v>209</v>
      </c>
      <c r="D18" s="36" t="str">
        <f t="shared" si="0"/>
        <v>Nague Zemdjui Arnaud</v>
      </c>
      <c r="E18" s="35" t="s">
        <v>26</v>
      </c>
      <c r="F18" s="35" t="s">
        <v>15</v>
      </c>
      <c r="G18" s="35" t="s">
        <v>210</v>
      </c>
      <c r="H18" s="35" t="s">
        <v>211</v>
      </c>
      <c r="I18" s="18" t="s">
        <v>114</v>
      </c>
      <c r="J18" s="37"/>
      <c r="K18" s="18" t="s">
        <v>116</v>
      </c>
      <c r="L18" s="38">
        <v>200000</v>
      </c>
      <c r="M18" s="39">
        <f>IF(L18="","",ROUND(L18/'00_Parametres'!$B$21,0))</f>
        <v>888</v>
      </c>
      <c r="N18" s="39">
        <f>IF(M18="","",ROUND(M18*'00_Parametres'!$B$22,0))</f>
        <v>1332</v>
      </c>
      <c r="O18" s="35"/>
      <c r="P18" s="35"/>
      <c r="Q18" s="35"/>
    </row>
    <row r="19" ht="15" customHeight="1" spans="1:17" x14ac:dyDescent="0.25">
      <c r="A19" s="26" t="s">
        <v>212</v>
      </c>
      <c r="B19" s="40" t="s">
        <v>213</v>
      </c>
      <c r="C19" s="40" t="s">
        <v>214</v>
      </c>
      <c r="D19" s="41" t="str">
        <f t="shared" ref="D19:D25" si="1">IF(B19="","",TRIM(B19&amp;" "&amp;C19))</f>
        <v>Zo'o Mbarga Jean Loic</v>
      </c>
      <c r="E19" s="40" t="s">
        <v>20</v>
      </c>
      <c r="F19" s="40" t="s">
        <v>19</v>
      </c>
      <c r="G19" s="40" t="s">
        <v>215</v>
      </c>
      <c r="H19" s="40"/>
      <c r="I19" s="26" t="s">
        <v>114</v>
      </c>
      <c r="J19" s="42">
        <v>46223</v>
      </c>
      <c r="K19" s="26" t="s">
        <v>119</v>
      </c>
      <c r="L19" s="26">
        <v>80000</v>
      </c>
      <c r="M19" s="39">
        <f>IF(L19="","",ROUND(L19/'00_Parametres'!$B$21,0))</f>
        <v>355</v>
      </c>
      <c r="N19" s="39">
        <f>IF(M19="","",ROUND(M19*'00_Parametres'!$B$22,0))</f>
        <v>533</v>
      </c>
      <c r="O19" s="40"/>
      <c r="P19" s="40"/>
      <c r="Q19" s="40"/>
    </row>
    <row r="20" ht="15" customHeight="1" spans="1:17" x14ac:dyDescent="0.25">
      <c r="A20" s="22"/>
      <c r="B20" s="22"/>
      <c r="C20" s="22"/>
      <c r="D20" s="41">
        <f t="shared" si="1"/>
      </c>
      <c r="E20" s="22"/>
      <c r="F20" s="22"/>
      <c r="G20" s="22"/>
      <c r="H20" s="22"/>
      <c r="I20" s="22"/>
      <c r="J20" s="22"/>
      <c r="K20" s="22"/>
      <c r="L20" s="22"/>
      <c r="M20" s="43">
        <f>IF(L20="","",ROUND(L20/'00_Parametres'!$B$21,0))</f>
      </c>
      <c r="N20" s="43">
        <f>IF(M20="","",ROUND(M20*'00_Parametres'!$B$22,0))</f>
      </c>
      <c r="O20" s="22"/>
      <c r="P20" s="22"/>
      <c r="Q20" s="22"/>
    </row>
    <row r="21" ht="15" customHeight="1" spans="1:17" x14ac:dyDescent="0.25">
      <c r="A21" s="22"/>
      <c r="B21" s="22"/>
      <c r="C21" s="22"/>
      <c r="D21" s="41">
        <f t="shared" si="1"/>
      </c>
      <c r="E21" s="22"/>
      <c r="F21" s="22"/>
      <c r="G21" s="22"/>
      <c r="H21" s="22"/>
      <c r="I21" s="22"/>
      <c r="J21" s="22"/>
      <c r="K21" s="22"/>
      <c r="L21" s="22"/>
      <c r="M21" s="43">
        <f>IF(L21="","",ROUND(L21/'00_Parametres'!$B$21,0))</f>
      </c>
      <c r="N21" s="43">
        <f>IF(M21="","",ROUND(M21*'00_Parametres'!$B$22,0))</f>
      </c>
      <c r="O21" s="22"/>
      <c r="P21" s="22"/>
      <c r="Q21" s="22"/>
    </row>
    <row r="22" ht="15" customHeight="1" spans="1:17" x14ac:dyDescent="0.25">
      <c r="A22" s="22"/>
      <c r="B22" s="22"/>
      <c r="C22" s="22"/>
      <c r="D22" s="41">
        <f t="shared" si="1"/>
      </c>
      <c r="E22" s="22"/>
      <c r="F22" s="22"/>
      <c r="G22" s="22"/>
      <c r="H22" s="22"/>
      <c r="I22" s="22"/>
      <c r="J22" s="22"/>
      <c r="K22" s="22"/>
      <c r="L22" s="22"/>
      <c r="M22" s="43">
        <f>IF(L22="","",ROUND(L22/'00_Parametres'!$B$21,0))</f>
      </c>
      <c r="N22" s="43">
        <f>IF(M22="","",ROUND(M22*'00_Parametres'!$B$22,0))</f>
      </c>
      <c r="O22" s="22"/>
      <c r="P22" s="22"/>
      <c r="Q22" s="22"/>
    </row>
    <row r="23" ht="15" customHeight="1" spans="1:17" x14ac:dyDescent="0.25">
      <c r="A23" s="22"/>
      <c r="B23" s="22"/>
      <c r="C23" s="22"/>
      <c r="D23" s="41">
        <f t="shared" si="1"/>
      </c>
      <c r="E23" s="22"/>
      <c r="F23" s="22"/>
      <c r="G23" s="22"/>
      <c r="H23" s="22"/>
      <c r="I23" s="22"/>
      <c r="J23" s="22"/>
      <c r="K23" s="22"/>
      <c r="L23" s="22"/>
      <c r="M23" s="43">
        <f>IF(L23="","",ROUND(L23/'00_Parametres'!$B$21,0))</f>
      </c>
      <c r="N23" s="43">
        <f>IF(M23="","",ROUND(M23*'00_Parametres'!$B$22,0))</f>
      </c>
      <c r="O23" s="22"/>
      <c r="P23" s="22"/>
      <c r="Q23" s="22"/>
    </row>
    <row r="24" ht="15" customHeight="1" spans="1:17" x14ac:dyDescent="0.25">
      <c r="A24" s="22"/>
      <c r="B24" s="22"/>
      <c r="C24" s="22"/>
      <c r="D24" s="41">
        <f t="shared" si="1"/>
      </c>
      <c r="E24" s="22"/>
      <c r="F24" s="22"/>
      <c r="G24" s="22"/>
      <c r="H24" s="22"/>
      <c r="I24" s="22"/>
      <c r="J24" s="22"/>
      <c r="K24" s="22"/>
      <c r="L24" s="22"/>
      <c r="M24" s="43">
        <f>IF(L24="","",ROUND(L24/'00_Parametres'!$B$21,0))</f>
      </c>
      <c r="N24" s="43">
        <f>IF(M24="","",ROUND(M24*'00_Parametres'!$B$22,0))</f>
      </c>
      <c r="O24" s="22"/>
      <c r="P24" s="22"/>
      <c r="Q24" s="22"/>
    </row>
    <row r="25" ht="15" customHeight="1" spans="1:17" x14ac:dyDescent="0.25">
      <c r="A25" s="22"/>
      <c r="B25" s="22"/>
      <c r="C25" s="22"/>
      <c r="D25" s="41">
        <f t="shared" si="1"/>
      </c>
      <c r="E25" s="22"/>
      <c r="F25" s="22"/>
      <c r="G25" s="22"/>
      <c r="H25" s="22"/>
      <c r="I25" s="22"/>
      <c r="J25" s="22"/>
      <c r="K25" s="22"/>
      <c r="L25" s="22"/>
      <c r="M25" s="43">
        <f>IF(L25="","",ROUND(L25/'00_Parametres'!$B$21,0))</f>
      </c>
      <c r="N25" s="43">
        <f>IF(M25="","",ROUND(M25*'00_Parametres'!$B$22,0))</f>
      </c>
      <c r="O25" s="22"/>
      <c r="P25" s="22"/>
      <c r="Q25" s="22"/>
    </row>
    <row r="26" spans="1:12" x14ac:dyDescent="0.25"/>
    <row r="27" spans="1:12" x14ac:dyDescent="0.25"/>
    <row r="28" spans="1:12" x14ac:dyDescent="0.25"/>
    <row r="29" spans="1:12" x14ac:dyDescent="0.25"/>
    <row r="30" spans="1:12" x14ac:dyDescent="0.25"/>
  </sheetData>
  <sheetProtection sheet="1" formatCells="0" formatColumns="0" formatRows="0" autoFilter="0" algorithmName="SHA-512" hashValue="qRoYHgSows7GPhoV9vZjRh7jnNID+5xNpi7f84dgnjwbBMa9emZD4Pesja0UE5ina3qfvupSkmyVs5k18X9ixg==" saltValue="Py6KVx86cv3+Lxjo6nIaJQ==" spinCount="100000"/>
  <mergeCells count="3">
    <mergeCell ref="A1:P1"/>
    <mergeCell ref="A2:P2"/>
    <mergeCell ref="A3:P3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workbookViewId="0" zoomScale="100" zoomScaleNormal="100">
      <pane ySplit="5" topLeftCell="A28" activePane="bottomLeft" state="frozen"/>
      <selection pane="bottomLeft" activeCell="I35" sqref="I35"/>
    </sheetView>
  </sheetViews>
  <sheetFormatPr defaultRowHeight="15" outlineLevelRow="0" outlineLevelCol="0" x14ac:dyDescent="0.25" defaultColWidth="8.7109375"/>
  <cols>
    <col min="1" max="2" width="11" customWidth="1"/>
    <col min="3" max="3" width="24" customWidth="1"/>
    <col min="4" max="4" width="10" customWidth="1"/>
    <col min="5" max="6" width="12" customWidth="1"/>
    <col min="8" max="9" width="12" customWidth="1"/>
    <col min="10" max="13" width="11" customWidth="1"/>
    <col min="14" max="14" width="10" customWidth="1"/>
    <col min="15" max="16" width="11" customWidth="1"/>
    <col min="17" max="18" width="10" customWidth="1"/>
    <col min="20" max="20" width="11" customWidth="1"/>
    <col min="21" max="21" width="28" customWidth="1"/>
  </cols>
  <sheetData>
    <row r="1" ht="19.5" customHeight="1" spans="1:18" x14ac:dyDescent="0.25">
      <c r="A1" s="44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" customHeight="1" spans="1:18" x14ac:dyDescent="0.25">
      <c r="A2" s="15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5" customHeight="1" spans="1:18" x14ac:dyDescent="0.25">
      <c r="A3" s="34" t="s">
        <v>218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ht="39.75" customHeight="1" spans="1:21" x14ac:dyDescent="0.25">
      <c r="A5" s="45" t="s">
        <v>219</v>
      </c>
      <c r="B5" s="45" t="s">
        <v>220</v>
      </c>
      <c r="C5" s="45" t="s">
        <v>147</v>
      </c>
      <c r="D5" s="45" t="s">
        <v>53</v>
      </c>
      <c r="E5" s="45" t="s">
        <v>221</v>
      </c>
      <c r="F5" s="45" t="s">
        <v>222</v>
      </c>
      <c r="G5" s="45" t="s">
        <v>223</v>
      </c>
      <c r="H5" s="45" t="s">
        <v>224</v>
      </c>
      <c r="I5" s="45" t="s">
        <v>225</v>
      </c>
      <c r="J5" s="45" t="s">
        <v>226</v>
      </c>
      <c r="K5" s="45" t="s">
        <v>227</v>
      </c>
      <c r="L5" s="45" t="s">
        <v>228</v>
      </c>
      <c r="M5" s="45" t="s">
        <v>229</v>
      </c>
      <c r="N5" s="45" t="s">
        <v>230</v>
      </c>
      <c r="O5" s="45" t="s">
        <v>231</v>
      </c>
      <c r="P5" s="45" t="s">
        <v>232</v>
      </c>
      <c r="Q5" s="45" t="s">
        <v>233</v>
      </c>
      <c r="R5" s="45" t="s">
        <v>234</v>
      </c>
      <c r="S5" s="45" t="s">
        <v>235</v>
      </c>
      <c r="T5" s="45" t="s">
        <v>236</v>
      </c>
      <c r="U5" s="45" t="s">
        <v>237</v>
      </c>
    </row>
    <row r="6" ht="15" customHeight="1" spans="1:21" x14ac:dyDescent="0.25">
      <c r="A6" s="46">
        <v>46258</v>
      </c>
      <c r="B6" s="26" t="s">
        <v>159</v>
      </c>
      <c r="C6" s="41" t="str">
        <f>IF(B6="","",IFERROR(VLOOKUP(B6,Employes[[ID]:[Nom Complet]],4,FALSE()),""))</f>
        <v>Tsafack Ndongmo Symphonien</v>
      </c>
      <c r="D6" s="47" t="str">
        <f t="shared" ref="D6:D37" si="0">IF(A6="","",TEXT(A6,"dddd"))</f>
        <v>dddd</v>
      </c>
      <c r="E6" s="48">
        <f>IF(A6="","",IFERROR(INDEX('00_Parametres'!$C$7:$C$13,WEEKDAY(A6,2)),""))</f>
        <v>0.3125</v>
      </c>
      <c r="F6" s="48">
        <f>IF(A6="","",IFERROR(INDEX('00_Parametres'!$D$7:$D$13,WEEKDAY(A6,2)),""))</f>
        <v>0.75</v>
      </c>
      <c r="G6" s="49">
        <f>IF(A6="","",IFERROR(INDEX('00_Parametres'!$E$7:$E$13,WEEKDAY(A6,2)),0))</f>
        <v>1</v>
      </c>
      <c r="H6" s="50">
        <v>0.3020833333321207</v>
      </c>
      <c r="I6" s="50">
        <v>0.7569444444452529</v>
      </c>
      <c r="J6" s="51" t="s">
        <v>70</v>
      </c>
      <c r="K6" s="51" t="s">
        <v>70</v>
      </c>
      <c r="L6" s="48">
        <f>IF(OR(A6="",H6=""),"",IF(H6&lt;E6,IF(OR(J6="Oui",'00_Parametres'!$B$28="Oui"),H6,E6),H6))</f>
        <v>0.3125</v>
      </c>
      <c r="M6" s="48">
        <f>IF(OR(A6="",I6=""),"",IF(I6&gt;F6,IF(OR(K6="Oui",'00_Parametres'!$B$29="Oui"),I6,F6),I6))</f>
        <v>0.75</v>
      </c>
      <c r="N6" s="52">
        <f t="shared" ref="N6:N37" si="1">IF(OR(A6="",H6="",E6=""),0,MAX(0,ROUND((H6-E6)*1440,0)))</f>
        <v>0</v>
      </c>
      <c r="O6" s="52">
        <f t="shared" ref="O6:O37" si="2">IF(OR(A6="",I6="",F6=""),0,MAX(0,ROUND((F6-I6)*1440,0)))</f>
        <v>0</v>
      </c>
      <c r="P6" s="53">
        <f t="shared" ref="P6:P37" si="3">IF(OR(L6="",M6=""),0,MAX(0,ROUND((M6-L6)*24-G6,2)))</f>
        <v>9.5</v>
      </c>
      <c r="Q6" s="53">
        <f>IF(P6=0,0,MIN(P6,'00_Parametres'!$B$23))</f>
        <v>9.5</v>
      </c>
      <c r="R6" s="53">
        <f>IF(P6=0,0,MAX(0,P6-'00_Parametres'!$B$23))</f>
        <v>0</v>
      </c>
      <c r="S6" s="26" t="s">
        <v>238</v>
      </c>
      <c r="T6" s="26">
        <v>0</v>
      </c>
      <c r="U6" s="40" t="s">
        <v>239</v>
      </c>
    </row>
    <row r="7" ht="15" customHeight="1" spans="1:21" x14ac:dyDescent="0.25">
      <c r="A7" s="46">
        <v>46258</v>
      </c>
      <c r="B7" s="26" t="s">
        <v>163</v>
      </c>
      <c r="C7" s="41" t="str">
        <f>IF(B7="","",IFERROR(VLOOKUP(B7,Employes[[ID]:[Nom Complet]],4,FALSE()),""))</f>
        <v>Pandja Tchatchoua Syriane</v>
      </c>
      <c r="D7" s="47" t="str">
        <f t="shared" si="0"/>
        <v>dddd</v>
      </c>
      <c r="E7" s="48">
        <f>IF(A7="","",IFERROR(INDEX('00_Parametres'!$C$7:$C$13,WEEKDAY(A7,2)),""))</f>
        <v>0.3125</v>
      </c>
      <c r="F7" s="48">
        <f>IF(A7="","",IFERROR(INDEX('00_Parametres'!$D$7:$D$13,WEEKDAY(A7,2)),""))</f>
        <v>0.75</v>
      </c>
      <c r="G7" s="49">
        <f>IF(A7="","",IFERROR(INDEX('00_Parametres'!$E$7:$E$13,WEEKDAY(A7,2)),0))</f>
        <v>1</v>
      </c>
      <c r="H7" s="50">
        <v>0.3125</v>
      </c>
      <c r="I7" s="50">
        <v>0.7916666666678793</v>
      </c>
      <c r="J7" s="51" t="s">
        <v>70</v>
      </c>
      <c r="K7" s="51" t="s">
        <v>61</v>
      </c>
      <c r="L7" s="48">
        <f>IF(OR(A7="",H7=""),"",IF(H7&lt;E7,IF(OR(J7="Oui",'00_Parametres'!$B$28="Oui"),H7,E7),H7))</f>
        <v>0.3125</v>
      </c>
      <c r="M7" s="48">
        <f>IF(OR(A7="",I7=""),"",IF(I7&gt;F7,IF(OR(K7="Oui",'00_Parametres'!$B$29="Oui"),I7,F7),I7))</f>
        <v>0.7916666666678793</v>
      </c>
      <c r="N7" s="52">
        <f t="shared" si="1"/>
        <v>0</v>
      </c>
      <c r="O7" s="52">
        <f t="shared" si="2"/>
        <v>0</v>
      </c>
      <c r="P7" s="53">
        <f t="shared" si="3"/>
        <v>10.5</v>
      </c>
      <c r="Q7" s="53">
        <f>IF(P7=0,0,MIN(P7,'00_Parametres'!$B$23))</f>
        <v>9.5</v>
      </c>
      <c r="R7" s="53">
        <f>IF(P7=0,0,MAX(0,P7-'00_Parametres'!$B$23))</f>
        <v>1</v>
      </c>
      <c r="S7" s="26" t="s">
        <v>240</v>
      </c>
      <c r="T7" s="26">
        <v>5000</v>
      </c>
      <c r="U7" s="40" t="s">
        <v>241</v>
      </c>
    </row>
    <row r="8" ht="15" customHeight="1" spans="1:21" x14ac:dyDescent="0.25">
      <c r="A8" s="46">
        <v>46258</v>
      </c>
      <c r="B8" s="26" t="s">
        <v>167</v>
      </c>
      <c r="C8" s="41" t="str">
        <f>IF(B8="","",IFERROR(VLOOKUP(B8,Employes[[ID]:[Nom Complet]],4,FALSE()),""))</f>
        <v>Takoueta Yvan</v>
      </c>
      <c r="D8" s="47" t="str">
        <f t="shared" si="0"/>
        <v>dddd</v>
      </c>
      <c r="E8" s="48">
        <f>IF(A8="","",IFERROR(INDEX('00_Parametres'!$C$7:$C$13,WEEKDAY(A8,2)),""))</f>
        <v>0.3125</v>
      </c>
      <c r="F8" s="48">
        <f>IF(A8="","",IFERROR(INDEX('00_Parametres'!$D$7:$D$13,WEEKDAY(A8,2)),""))</f>
        <v>0.75</v>
      </c>
      <c r="G8" s="49">
        <f>IF(A8="","",IFERROR(INDEX('00_Parametres'!$E$7:$E$13,WEEKDAY(A8,2)),0))</f>
        <v>1</v>
      </c>
      <c r="H8" s="50">
        <v>0.3333333333321207</v>
      </c>
      <c r="I8" s="50">
        <v>0.7291666666678793</v>
      </c>
      <c r="J8" s="51" t="s">
        <v>70</v>
      </c>
      <c r="K8" s="51" t="s">
        <v>70</v>
      </c>
      <c r="L8" s="48">
        <f>IF(OR(A8="",H8=""),"",IF(H8&lt;E8,IF(OR(J8="Oui",'00_Parametres'!$B$28="Oui"),H8,E8),H8))</f>
        <v>0.3333333333321207</v>
      </c>
      <c r="M8" s="48">
        <f>IF(OR(A8="",I8=""),"",IF(I8&gt;F8,IF(OR(K8="Oui",'00_Parametres'!$B$29="Oui"),I8,F8),I8))</f>
        <v>0.7291666666678793</v>
      </c>
      <c r="N8" s="52">
        <f t="shared" si="1"/>
        <v>30</v>
      </c>
      <c r="O8" s="52">
        <f t="shared" si="2"/>
        <v>30</v>
      </c>
      <c r="P8" s="53">
        <f t="shared" si="3"/>
        <v>8.5</v>
      </c>
      <c r="Q8" s="53">
        <f>IF(P8=0,0,MIN(P8,'00_Parametres'!$B$23))</f>
        <v>8.5</v>
      </c>
      <c r="R8" s="53">
        <f>IF(P8=0,0,MAX(0,P8-'00_Parametres'!$B$23))</f>
        <v>0</v>
      </c>
      <c r="S8" s="26" t="s">
        <v>242</v>
      </c>
      <c r="T8" s="26">
        <v>0</v>
      </c>
      <c r="U8" s="40" t="s">
        <v>243</v>
      </c>
    </row>
    <row r="9" ht="15" customHeight="1" spans="1:21" x14ac:dyDescent="0.25">
      <c r="A9" s="46">
        <v>46258</v>
      </c>
      <c r="B9" s="26" t="s">
        <v>171</v>
      </c>
      <c r="C9" s="41" t="str">
        <f>IF(B9="","",IFERROR(VLOOKUP(B9,Employes[[ID]:[Nom Complet]],4,FALSE()),""))</f>
        <v>Chekep Faustin</v>
      </c>
      <c r="D9" s="47" t="str">
        <f t="shared" si="0"/>
        <v>dddd</v>
      </c>
      <c r="E9" s="48">
        <f>IF(A9="","",IFERROR(INDEX('00_Parametres'!$C$7:$C$13,WEEKDAY(A9,2)),""))</f>
        <v>0.3125</v>
      </c>
      <c r="F9" s="48">
        <f>IF(A9="","",IFERROR(INDEX('00_Parametres'!$D$7:$D$13,WEEKDAY(A9,2)),""))</f>
        <v>0.75</v>
      </c>
      <c r="G9" s="49">
        <f>IF(A9="","",IFERROR(INDEX('00_Parametres'!$E$7:$E$13,WEEKDAY(A9,2)),0))</f>
        <v>1</v>
      </c>
      <c r="H9" s="50">
        <v>0.3229166666678793</v>
      </c>
      <c r="I9" s="50">
        <v>0.75</v>
      </c>
      <c r="J9" s="51" t="s">
        <v>70</v>
      </c>
      <c r="K9" s="51" t="s">
        <v>70</v>
      </c>
      <c r="L9" s="48">
        <f>IF(OR(A9="",H9=""),"",IF(H9&lt;E9,IF(OR(J9="Oui",'00_Parametres'!$B$28="Oui"),H9,E9),H9))</f>
        <v>0.3229166666678793</v>
      </c>
      <c r="M9" s="48">
        <f>IF(OR(A9="",I9=""),"",IF(I9&gt;F9,IF(OR(K9="Oui",'00_Parametres'!$B$29="Oui"),I9,F9),I9))</f>
        <v>0.75</v>
      </c>
      <c r="N9" s="52">
        <f t="shared" si="1"/>
        <v>15</v>
      </c>
      <c r="O9" s="52">
        <f t="shared" si="2"/>
        <v>0</v>
      </c>
      <c r="P9" s="53">
        <f t="shared" si="3"/>
        <v>9.25</v>
      </c>
      <c r="Q9" s="53">
        <f>IF(P9=0,0,MIN(P9,'00_Parametres'!$B$23))</f>
        <v>9.25</v>
      </c>
      <c r="R9" s="53">
        <f>IF(P9=0,0,MAX(0,P9-'00_Parametres'!$B$23))</f>
        <v>0</v>
      </c>
      <c r="S9" s="26" t="s">
        <v>242</v>
      </c>
      <c r="T9" s="26">
        <v>0</v>
      </c>
      <c r="U9" s="40" t="s">
        <v>244</v>
      </c>
    </row>
    <row r="10" ht="15" customHeight="1" spans="1:21" x14ac:dyDescent="0.25">
      <c r="A10" s="46">
        <v>46258</v>
      </c>
      <c r="B10" s="26" t="s">
        <v>175</v>
      </c>
      <c r="C10" s="41" t="str">
        <f>IF(B10="","",IFERROR(VLOOKUP(B10,Employes[[ID]:[Nom Complet]],4,FALSE()),""))</f>
        <v>Abdou</v>
      </c>
      <c r="D10" s="47" t="str">
        <f t="shared" si="0"/>
        <v>dddd</v>
      </c>
      <c r="E10" s="48">
        <f>IF(A10="","",IFERROR(INDEX('00_Parametres'!$C$7:$C$13,WEEKDAY(A10,2)),""))</f>
        <v>0.3125</v>
      </c>
      <c r="F10" s="48">
        <f>IF(A10="","",IFERROR(INDEX('00_Parametres'!$D$7:$D$13,WEEKDAY(A10,2)),""))</f>
        <v>0.75</v>
      </c>
      <c r="G10" s="49">
        <f>IF(A10="","",IFERROR(INDEX('00_Parametres'!$E$7:$E$13,WEEKDAY(A10,2)),0))</f>
        <v>1</v>
      </c>
      <c r="H10" s="50">
        <v>0.3125</v>
      </c>
      <c r="I10" s="50">
        <v>0.5</v>
      </c>
      <c r="J10" s="51" t="s">
        <v>70</v>
      </c>
      <c r="K10" s="51" t="s">
        <v>70</v>
      </c>
      <c r="L10" s="48">
        <f>IF(OR(A10="",H10=""),"",IF(H10&lt;E10,IF(OR(J10="Oui",'00_Parametres'!$B$28="Oui"),H10,E10),H10))</f>
        <v>0.3125</v>
      </c>
      <c r="M10" s="48">
        <f>IF(OR(A10="",I10=""),"",IF(I10&gt;F10,IF(OR(K10="Oui",'00_Parametres'!$B$29="Oui"),I10,F10),I10))</f>
        <v>0.5</v>
      </c>
      <c r="N10" s="52">
        <f t="shared" si="1"/>
        <v>0</v>
      </c>
      <c r="O10" s="52">
        <f t="shared" si="2"/>
        <v>360</v>
      </c>
      <c r="P10" s="53">
        <f t="shared" si="3"/>
        <v>3.5</v>
      </c>
      <c r="Q10" s="53">
        <f>IF(P10=0,0,MIN(P10,'00_Parametres'!$B$23))</f>
        <v>3.5</v>
      </c>
      <c r="R10" s="53">
        <f>IF(P10=0,0,MAX(0,P10-'00_Parametres'!$B$23))</f>
        <v>0</v>
      </c>
      <c r="S10" s="26" t="s">
        <v>245</v>
      </c>
      <c r="T10" s="26">
        <v>2500</v>
      </c>
      <c r="U10" s="40" t="s">
        <v>246</v>
      </c>
    </row>
    <row r="11" ht="15" customHeight="1" spans="1:21" x14ac:dyDescent="0.25">
      <c r="A11" s="46">
        <v>46258</v>
      </c>
      <c r="B11" s="26" t="s">
        <v>178</v>
      </c>
      <c r="C11" s="41" t="str">
        <f>IF(B11="","",IFERROR(VLOOKUP(B11,Employes[[ID]:[Nom Complet]],4,FALSE()),""))</f>
        <v>Nyontyen Si Jean Vinny</v>
      </c>
      <c r="D11" s="47" t="str">
        <f t="shared" si="0"/>
        <v>dddd</v>
      </c>
      <c r="E11" s="48">
        <f>IF(A11="","",IFERROR(INDEX('00_Parametres'!$C$7:$C$13,WEEKDAY(A11,2)),""))</f>
        <v>0.3125</v>
      </c>
      <c r="F11" s="48">
        <f>IF(A11="","",IFERROR(INDEX('00_Parametres'!$D$7:$D$13,WEEKDAY(A11,2)),""))</f>
        <v>0.75</v>
      </c>
      <c r="G11" s="49">
        <f>IF(A11="","",IFERROR(INDEX('00_Parametres'!$E$7:$E$13,WEEKDAY(A11,2)),0))</f>
        <v>1</v>
      </c>
      <c r="H11" s="50">
        <v>0.3125</v>
      </c>
      <c r="I11" s="50">
        <v>0.7916666666678793</v>
      </c>
      <c r="J11" s="51" t="s">
        <v>70</v>
      </c>
      <c r="K11" s="51" t="s">
        <v>70</v>
      </c>
      <c r="L11" s="48">
        <f>IF(OR(A11="",H11=""),"",IF(H11&lt;E11,IF(OR(J11="Oui",'00_Parametres'!$B$28="Oui"),H11,E11),H11))</f>
        <v>0.3125</v>
      </c>
      <c r="M11" s="48">
        <f>IF(OR(A11="",I11=""),"",IF(I11&gt;F11,IF(OR(K11="Oui",'00_Parametres'!$B$29="Oui"),I11,F11),I11))</f>
        <v>0.75</v>
      </c>
      <c r="N11" s="52">
        <f t="shared" si="1"/>
        <v>0</v>
      </c>
      <c r="O11" s="52">
        <f t="shared" si="2"/>
        <v>0</v>
      </c>
      <c r="P11" s="53">
        <f t="shared" si="3"/>
        <v>9.5</v>
      </c>
      <c r="Q11" s="53">
        <f>IF(P11=0,0,MIN(P11,'00_Parametres'!$B$23))</f>
        <v>9.5</v>
      </c>
      <c r="R11" s="53">
        <f>IF(P11=0,0,MAX(0,P11-'00_Parametres'!$B$23))</f>
        <v>0</v>
      </c>
      <c r="S11" s="26"/>
      <c r="T11" s="26"/>
      <c r="U11" s="40"/>
    </row>
    <row r="12" ht="15" customHeight="1" spans="1:21" x14ac:dyDescent="0.25">
      <c r="A12" s="46">
        <v>46258</v>
      </c>
      <c r="B12" s="26" t="s">
        <v>182</v>
      </c>
      <c r="C12" s="41" t="str">
        <f>IF(B12="","",IFERROR(VLOOKUP(B12,Employes[[ID]:[Nom Complet]],4,FALSE()),""))</f>
        <v>Holé Homsala</v>
      </c>
      <c r="D12" s="47" t="str">
        <f t="shared" si="0"/>
        <v>dddd</v>
      </c>
      <c r="E12" s="48">
        <f>IF(A12="","",IFERROR(INDEX('00_Parametres'!$C$7:$C$13,WEEKDAY(A12,2)),""))</f>
        <v>0.3125</v>
      </c>
      <c r="F12" s="48">
        <f>IF(A12="","",IFERROR(INDEX('00_Parametres'!$D$7:$D$13,WEEKDAY(A12,2)),""))</f>
        <v>0.75</v>
      </c>
      <c r="G12" s="49">
        <f>IF(A12="","",IFERROR(INDEX('00_Parametres'!$E$7:$E$13,WEEKDAY(A12,2)),0))</f>
        <v>1</v>
      </c>
      <c r="H12" s="50">
        <v>0.625</v>
      </c>
      <c r="I12" s="50">
        <v>0.7083333333321207</v>
      </c>
      <c r="J12" s="51" t="s">
        <v>70</v>
      </c>
      <c r="K12" s="51" t="s">
        <v>70</v>
      </c>
      <c r="L12" s="48">
        <f>IF(OR(A12="",H12=""),"",IF(H12&lt;E12,IF(OR(J12="Oui",'00_Parametres'!$B$28="Oui"),H12,E12),H12))</f>
        <v>0.625</v>
      </c>
      <c r="M12" s="48">
        <f>IF(OR(A12="",I12=""),"",IF(I12&gt;F12,IF(OR(K12="Oui",'00_Parametres'!$B$29="Oui"),I12,F12),I12))</f>
        <v>0.7083333333321207</v>
      </c>
      <c r="N12" s="52">
        <f t="shared" si="1"/>
        <v>450</v>
      </c>
      <c r="O12" s="52">
        <f t="shared" si="2"/>
        <v>60</v>
      </c>
      <c r="P12" s="53">
        <f t="shared" si="3"/>
        <v>1</v>
      </c>
      <c r="Q12" s="53">
        <f>IF(P12=0,0,MIN(P12,'00_Parametres'!$B$23))</f>
        <v>1</v>
      </c>
      <c r="R12" s="53">
        <f>IF(P12=0,0,MAX(0,P12-'00_Parametres'!$B$23))</f>
        <v>0</v>
      </c>
      <c r="S12" s="26"/>
      <c r="T12" s="26"/>
      <c r="U12" s="40"/>
    </row>
    <row r="13" ht="15" customHeight="1" spans="1:21" x14ac:dyDescent="0.25">
      <c r="A13" s="46">
        <v>46258</v>
      </c>
      <c r="B13" s="26" t="s">
        <v>187</v>
      </c>
      <c r="C13" s="41" t="str">
        <f>IF(B13="","",IFERROR(VLOOKUP(B13,Employes[[ID]:[Nom Complet]],4,FALSE()),""))</f>
        <v>Ebene Ngono</v>
      </c>
      <c r="D13" s="47" t="str">
        <f t="shared" si="0"/>
        <v>dddd</v>
      </c>
      <c r="E13" s="48">
        <f>IF(A13="","",IFERROR(INDEX('00_Parametres'!$C$7:$C$13,WEEKDAY(A13,2)),""))</f>
        <v>0.3125</v>
      </c>
      <c r="F13" s="48">
        <f>IF(A13="","",IFERROR(INDEX('00_Parametres'!$D$7:$D$13,WEEKDAY(A13,2)),""))</f>
        <v>0.75</v>
      </c>
      <c r="G13" s="49">
        <f>IF(A13="","",IFERROR(INDEX('00_Parametres'!$E$7:$E$13,WEEKDAY(A13,2)),0))</f>
        <v>1</v>
      </c>
      <c r="H13" s="50"/>
      <c r="I13" s="50"/>
      <c r="J13" s="51" t="s">
        <v>70</v>
      </c>
      <c r="K13" s="51" t="s">
        <v>70</v>
      </c>
      <c r="L13" s="48">
        <f>IF(OR(A13="",H13=""),"",IF(H13&lt;E13,IF(OR(J13="Oui",'00_Parametres'!$B$28="Oui"),H13,E13),H13))</f>
      </c>
      <c r="M13" s="48">
        <f>IF(OR(A13="",I13=""),"",IF(I13&gt;F13,IF(OR(K13="Oui",'00_Parametres'!$B$29="Oui"),I13,F13),I13))</f>
      </c>
      <c r="N13" s="52">
        <f t="shared" si="1"/>
        <v>0</v>
      </c>
      <c r="O13" s="52">
        <f t="shared" si="2"/>
        <v>0</v>
      </c>
      <c r="P13" s="53">
        <f t="shared" si="3"/>
        <v>0</v>
      </c>
      <c r="Q13" s="53">
        <f>IF(P13=0,0,MIN(P13,'00_Parametres'!$B$23))</f>
        <v>0</v>
      </c>
      <c r="R13" s="53">
        <f>IF(P13=0,0,MAX(0,P13-'00_Parametres'!$B$23))</f>
        <v>0</v>
      </c>
      <c r="S13" s="26"/>
      <c r="T13" s="26"/>
      <c r="U13" s="40"/>
    </row>
    <row r="14" ht="15" customHeight="1" spans="1:21" x14ac:dyDescent="0.25">
      <c r="A14" s="46">
        <v>46258</v>
      </c>
      <c r="B14" s="26" t="s">
        <v>191</v>
      </c>
      <c r="C14" s="41" t="str">
        <f>IF(B14="","",IFERROR(VLOOKUP(B14,Employes[[ID]:[Nom Complet]],4,FALSE()),""))</f>
        <v>Tineba Vital Eric</v>
      </c>
      <c r="D14" s="47" t="str">
        <f t="shared" si="0"/>
        <v>dddd</v>
      </c>
      <c r="E14" s="48">
        <f>IF(A14="","",IFERROR(INDEX('00_Parametres'!$C$7:$C$13,WEEKDAY(A14,2)),""))</f>
        <v>0.3125</v>
      </c>
      <c r="F14" s="48">
        <f>IF(A14="","",IFERROR(INDEX('00_Parametres'!$D$7:$D$13,WEEKDAY(A14,2)),""))</f>
        <v>0.75</v>
      </c>
      <c r="G14" s="49">
        <f>IF(A14="","",IFERROR(INDEX('00_Parametres'!$E$7:$E$13,WEEKDAY(A14,2)),0))</f>
        <v>1</v>
      </c>
      <c r="H14" s="50"/>
      <c r="I14" s="50"/>
      <c r="J14" s="51" t="s">
        <v>70</v>
      </c>
      <c r="K14" s="51" t="s">
        <v>70</v>
      </c>
      <c r="L14" s="48">
        <f>IF(OR(A14="",H14=""),"",IF(H14&lt;E14,IF(OR(J14="Oui",'00_Parametres'!$B$28="Oui"),H14,E14),H14))</f>
      </c>
      <c r="M14" s="48">
        <f>IF(OR(A14="",I14=""),"",IF(I14&gt;F14,IF(OR(K14="Oui",'00_Parametres'!$B$29="Oui"),I14,F14),I14))</f>
      </c>
      <c r="N14" s="52">
        <f t="shared" si="1"/>
        <v>0</v>
      </c>
      <c r="O14" s="52">
        <f t="shared" si="2"/>
        <v>0</v>
      </c>
      <c r="P14" s="53">
        <f t="shared" si="3"/>
        <v>0</v>
      </c>
      <c r="Q14" s="53">
        <f>IF(P14=0,0,MIN(P14,'00_Parametres'!$B$23))</f>
        <v>0</v>
      </c>
      <c r="R14" s="53">
        <f>IF(P14=0,0,MAX(0,P14-'00_Parametres'!$B$23))</f>
        <v>0</v>
      </c>
      <c r="S14" s="26"/>
      <c r="T14" s="26"/>
      <c r="U14" s="40"/>
    </row>
    <row r="15" ht="15" customHeight="1" spans="1:21" x14ac:dyDescent="0.25">
      <c r="A15" s="46">
        <v>46258</v>
      </c>
      <c r="B15" s="26" t="s">
        <v>195</v>
      </c>
      <c r="C15" s="41" t="str">
        <f>IF(B15="","",IFERROR(VLOOKUP(B15,Employes[[ID]:[Nom Complet]],4,FALSE()),""))</f>
        <v>Deutchoua Tientcheu Christian</v>
      </c>
      <c r="D15" s="47" t="str">
        <f t="shared" si="0"/>
        <v>dddd</v>
      </c>
      <c r="E15" s="48">
        <f>IF(A15="","",IFERROR(INDEX('00_Parametres'!$C$7:$C$13,WEEKDAY(A15,2)),""))</f>
        <v>0.3125</v>
      </c>
      <c r="F15" s="48">
        <f>IF(A15="","",IFERROR(INDEX('00_Parametres'!$D$7:$D$13,WEEKDAY(A15,2)),""))</f>
        <v>0.75</v>
      </c>
      <c r="G15" s="49">
        <f>IF(A15="","",IFERROR(INDEX('00_Parametres'!$E$7:$E$13,WEEKDAY(A15,2)),0))</f>
        <v>1</v>
      </c>
      <c r="H15" s="50"/>
      <c r="I15" s="50"/>
      <c r="J15" s="51" t="s">
        <v>70</v>
      </c>
      <c r="K15" s="51" t="s">
        <v>70</v>
      </c>
      <c r="L15" s="48">
        <f>IF(OR(A15="",H15=""),"",IF(H15&lt;E15,IF(OR(J15="Oui",'00_Parametres'!$B$28="Oui"),H15,E15),H15))</f>
      </c>
      <c r="M15" s="48">
        <f>IF(OR(A15="",I15=""),"",IF(I15&gt;F15,IF(OR(K15="Oui",'00_Parametres'!$B$29="Oui"),I15,F15),I15))</f>
      </c>
      <c r="N15" s="52">
        <f t="shared" si="1"/>
        <v>0</v>
      </c>
      <c r="O15" s="52">
        <f t="shared" si="2"/>
        <v>0</v>
      </c>
      <c r="P15" s="53">
        <f t="shared" si="3"/>
        <v>0</v>
      </c>
      <c r="Q15" s="53">
        <f>IF(P15=0,0,MIN(P15,'00_Parametres'!$B$23))</f>
        <v>0</v>
      </c>
      <c r="R15" s="53">
        <f>IF(P15=0,0,MAX(0,P15-'00_Parametres'!$B$23))</f>
        <v>0</v>
      </c>
      <c r="S15" s="26"/>
      <c r="T15" s="26"/>
      <c r="U15" s="40"/>
    </row>
    <row r="16" ht="15" customHeight="1" spans="1:21" x14ac:dyDescent="0.25">
      <c r="A16" s="46">
        <v>46258</v>
      </c>
      <c r="B16" s="26" t="s">
        <v>199</v>
      </c>
      <c r="C16" s="41" t="str">
        <f>IF(B16="","",IFERROR(VLOOKUP(B16,Employes[[ID]:[Nom Complet]],4,FALSE()),""))</f>
        <v>Fouakouet Youssoufa</v>
      </c>
      <c r="D16" s="47" t="str">
        <f t="shared" si="0"/>
        <v>dddd</v>
      </c>
      <c r="E16" s="48">
        <f>IF(A16="","",IFERROR(INDEX('00_Parametres'!$C$7:$C$13,WEEKDAY(A16,2)),""))</f>
        <v>0.3125</v>
      </c>
      <c r="F16" s="48">
        <f>IF(A16="","",IFERROR(INDEX('00_Parametres'!$D$7:$D$13,WEEKDAY(A16,2)),""))</f>
        <v>0.75</v>
      </c>
      <c r="G16" s="49">
        <f>IF(A16="","",IFERROR(INDEX('00_Parametres'!$E$7:$E$13,WEEKDAY(A16,2)),0))</f>
        <v>1</v>
      </c>
      <c r="H16" s="50"/>
      <c r="I16" s="50"/>
      <c r="J16" s="51" t="s">
        <v>70</v>
      </c>
      <c r="K16" s="51" t="s">
        <v>70</v>
      </c>
      <c r="L16" s="48">
        <f>IF(OR(A16="",H16=""),"",IF(H16&lt;E16,IF(OR(J16="Oui",'00_Parametres'!$B$28="Oui"),H16,E16),H16))</f>
      </c>
      <c r="M16" s="48">
        <f>IF(OR(A16="",I16=""),"",IF(I16&gt;F16,IF(OR(K16="Oui",'00_Parametres'!$B$29="Oui"),I16,F16),I16))</f>
      </c>
      <c r="N16" s="52">
        <f t="shared" si="1"/>
        <v>0</v>
      </c>
      <c r="O16" s="52">
        <f t="shared" si="2"/>
        <v>0</v>
      </c>
      <c r="P16" s="53">
        <f t="shared" si="3"/>
        <v>0</v>
      </c>
      <c r="Q16" s="53">
        <f>IF(P16=0,0,MIN(P16,'00_Parametres'!$B$23))</f>
        <v>0</v>
      </c>
      <c r="R16" s="53">
        <f>IF(P16=0,0,MAX(0,P16-'00_Parametres'!$B$23))</f>
        <v>0</v>
      </c>
      <c r="S16" s="26"/>
      <c r="T16" s="26"/>
      <c r="U16" s="40"/>
    </row>
    <row r="17" ht="15" customHeight="1" spans="1:21" x14ac:dyDescent="0.25">
      <c r="A17" s="46">
        <v>46258</v>
      </c>
      <c r="B17" s="26" t="s">
        <v>203</v>
      </c>
      <c r="C17" s="41" t="str">
        <f>IF(B17="","",IFERROR(VLOOKUP(B17,Employes[[ID]:[Nom Complet]],4,FALSE()),""))</f>
        <v>Ngouamera Adrien Gildas</v>
      </c>
      <c r="D17" s="47" t="str">
        <f t="shared" si="0"/>
        <v>dddd</v>
      </c>
      <c r="E17" s="48">
        <f>IF(A17="","",IFERROR(INDEX('00_Parametres'!$C$7:$C$13,WEEKDAY(A17,2)),""))</f>
        <v>0.3125</v>
      </c>
      <c r="F17" s="48">
        <f>IF(A17="","",IFERROR(INDEX('00_Parametres'!$D$7:$D$13,WEEKDAY(A17,2)),""))</f>
        <v>0.75</v>
      </c>
      <c r="G17" s="49">
        <f>IF(A17="","",IFERROR(INDEX('00_Parametres'!$E$7:$E$13,WEEKDAY(A17,2)),0))</f>
        <v>1</v>
      </c>
      <c r="H17" s="50"/>
      <c r="I17" s="50"/>
      <c r="J17" s="51" t="s">
        <v>70</v>
      </c>
      <c r="K17" s="51" t="s">
        <v>70</v>
      </c>
      <c r="L17" s="48">
        <f>IF(OR(A17="",H17=""),"",IF(H17&lt;E17,IF(OR(J17="Oui",'00_Parametres'!$B$28="Oui"),H17,E17),H17))</f>
      </c>
      <c r="M17" s="48">
        <f>IF(OR(A17="",I17=""),"",IF(I17&gt;F17,IF(OR(K17="Oui",'00_Parametres'!$B$29="Oui"),I17,F17),I17))</f>
      </c>
      <c r="N17" s="52">
        <f t="shared" si="1"/>
        <v>0</v>
      </c>
      <c r="O17" s="52">
        <f t="shared" si="2"/>
        <v>0</v>
      </c>
      <c r="P17" s="53">
        <f t="shared" si="3"/>
        <v>0</v>
      </c>
      <c r="Q17" s="53">
        <f>IF(P17=0,0,MIN(P17,'00_Parametres'!$B$23))</f>
        <v>0</v>
      </c>
      <c r="R17" s="53">
        <f>IF(P17=0,0,MAX(0,P17-'00_Parametres'!$B$23))</f>
        <v>0</v>
      </c>
      <c r="S17" s="26"/>
      <c r="T17" s="26"/>
      <c r="U17" s="40"/>
    </row>
    <row r="18" ht="15" customHeight="1" spans="1:21" x14ac:dyDescent="0.25">
      <c r="A18" s="46">
        <v>46258</v>
      </c>
      <c r="B18" s="26" t="s">
        <v>207</v>
      </c>
      <c r="C18" s="41" t="str">
        <f>IF(B18="","",IFERROR(VLOOKUP(B18,Employes[[ID]:[Nom Complet]],4,FALSE()),""))</f>
        <v>Nague Zemdjui Arnaud</v>
      </c>
      <c r="D18" s="47" t="str">
        <f t="shared" si="0"/>
        <v>dddd</v>
      </c>
      <c r="E18" s="48">
        <f>IF(A18="","",IFERROR(INDEX('00_Parametres'!$C$7:$C$13,WEEKDAY(A18,2)),""))</f>
        <v>0.3125</v>
      </c>
      <c r="F18" s="48">
        <f>IF(A18="","",IFERROR(INDEX('00_Parametres'!$D$7:$D$13,WEEKDAY(A18,2)),""))</f>
        <v>0.75</v>
      </c>
      <c r="G18" s="49">
        <f>IF(A18="","",IFERROR(INDEX('00_Parametres'!$E$7:$E$13,WEEKDAY(A18,2)),0))</f>
        <v>1</v>
      </c>
      <c r="H18" s="50"/>
      <c r="I18" s="50"/>
      <c r="J18" s="51" t="s">
        <v>70</v>
      </c>
      <c r="K18" s="51" t="s">
        <v>70</v>
      </c>
      <c r="L18" s="48">
        <f>IF(OR(A18="",H18=""),"",IF(H18&lt;E18,IF(OR(J18="Oui",'00_Parametres'!$B$28="Oui"),H18,E18),H18))</f>
      </c>
      <c r="M18" s="48">
        <f>IF(OR(A18="",I18=""),"",IF(I18&gt;F18,IF(OR(K18="Oui",'00_Parametres'!$B$29="Oui"),I18,F18),I18))</f>
      </c>
      <c r="N18" s="52">
        <f t="shared" si="1"/>
        <v>0</v>
      </c>
      <c r="O18" s="52">
        <f t="shared" si="2"/>
        <v>0</v>
      </c>
      <c r="P18" s="53">
        <f t="shared" si="3"/>
        <v>0</v>
      </c>
      <c r="Q18" s="53">
        <f>IF(P18=0,0,MIN(P18,'00_Parametres'!$B$23))</f>
        <v>0</v>
      </c>
      <c r="R18" s="53">
        <f>IF(P18=0,0,MAX(0,P18-'00_Parametres'!$B$23))</f>
        <v>0</v>
      </c>
      <c r="S18" s="26"/>
      <c r="T18" s="26"/>
      <c r="U18" s="40"/>
    </row>
    <row r="19" ht="15" customHeight="1" spans="1:21" s="54" customFormat="1" x14ac:dyDescent="0.25">
      <c r="A19" s="55"/>
      <c r="B19" s="56"/>
      <c r="C19" s="57">
        <f>IF(B19="","",IFERROR(VLOOKUP(B19,Employes[[ID]:[Nom Complet]],4,FALSE()),""))</f>
      </c>
      <c r="D19" s="58">
        <f t="shared" si="0"/>
      </c>
      <c r="E19" s="59">
        <f>IF(A19="","",IFERROR(INDEX('00_Parametres'!$C$7:$C$13,WEEKDAY(A19,2)),""))</f>
      </c>
      <c r="F19" s="59">
        <f>IF(A19="","",IFERROR(INDEX('00_Parametres'!$D$7:$D$13,WEEKDAY(A19,2)),""))</f>
      </c>
      <c r="G19" s="60">
        <f>IF(A19="","",IFERROR(INDEX('00_Parametres'!$E$7:$E$13,WEEKDAY(A19,2)),0))</f>
      </c>
      <c r="H19" s="61"/>
      <c r="I19" s="61"/>
      <c r="J19" s="62" t="s">
        <v>70</v>
      </c>
      <c r="K19" s="62" t="s">
        <v>70</v>
      </c>
      <c r="L19" s="59">
        <f>IF(OR(A19="",H19=""),"",IF(H19&lt;E19,IF(OR(J19="Oui",'00_Parametres'!$B$28="Oui"),H19,E19),H19))</f>
      </c>
      <c r="M19" s="59">
        <f>IF(OR(A19="",I19=""),"",IF(I19&gt;F19,IF(OR(K19="Oui",'00_Parametres'!$B$29="Oui"),I19,F19),I19))</f>
      </c>
      <c r="N19" s="63">
        <f t="shared" si="1"/>
        <v>0</v>
      </c>
      <c r="O19" s="63">
        <f t="shared" si="2"/>
        <v>0</v>
      </c>
      <c r="P19" s="64">
        <f t="shared" si="3"/>
        <v>0</v>
      </c>
      <c r="Q19" s="64">
        <f>IF(P19=0,0,MIN(P19,'00_Parametres'!$B$23))</f>
        <v>0</v>
      </c>
      <c r="R19" s="64">
        <f>IF(P19=0,0,MAX(0,P19-'00_Parametres'!$B$23))</f>
        <v>0</v>
      </c>
      <c r="S19" s="56"/>
      <c r="T19" s="65"/>
      <c r="U19" s="66"/>
    </row>
    <row r="20" ht="15" customHeight="1" spans="1:21" x14ac:dyDescent="0.25">
      <c r="A20" s="46">
        <v>46259</v>
      </c>
      <c r="B20" s="26" t="s">
        <v>159</v>
      </c>
      <c r="C20" s="41" t="str">
        <f>IF(B20="","",IFERROR(VLOOKUP(B20,Employes[[ID]:[Nom Complet]],4,FALSE()),""))</f>
        <v>Tsafack Ndongmo Symphonien</v>
      </c>
      <c r="D20" s="47" t="str">
        <f t="shared" si="0"/>
        <v>dddd</v>
      </c>
      <c r="E20" s="48">
        <f>IF(A20="","",IFERROR(INDEX('00_Parametres'!$C$7:$C$13,WEEKDAY(A20,2)),""))</f>
        <v>0.3125</v>
      </c>
      <c r="F20" s="48">
        <f>IF(A20="","",IFERROR(INDEX('00_Parametres'!$D$7:$D$13,WEEKDAY(A20,2)),""))</f>
        <v>0.75</v>
      </c>
      <c r="G20" s="49">
        <f>IF(A20="","",IFERROR(INDEX('00_Parametres'!$E$7:$E$13,WEEKDAY(A20,2)),0))</f>
        <v>1</v>
      </c>
      <c r="H20" s="50">
        <v>0.40277777777737356</v>
      </c>
      <c r="I20" s="50">
        <v>0.8333333333321207</v>
      </c>
      <c r="J20" s="51" t="s">
        <v>70</v>
      </c>
      <c r="K20" s="51" t="s">
        <v>70</v>
      </c>
      <c r="L20" s="48">
        <f>IF(OR(A20="",H20=""),"",IF(H20&lt;E20,IF(OR(J20="Oui",'00_Parametres'!$B$28="Oui"),H20,E20),H20))</f>
        <v>0.40277777777737356</v>
      </c>
      <c r="M20" s="48">
        <f>IF(OR(A20="",I20=""),"",IF(I20&gt;F20,IF(OR(K20="Oui",'00_Parametres'!$B$29="Oui"),I20,F20),I20))</f>
        <v>0.75</v>
      </c>
      <c r="N20" s="52">
        <f t="shared" si="1"/>
        <v>130</v>
      </c>
      <c r="O20" s="52">
        <f t="shared" si="2"/>
        <v>0</v>
      </c>
      <c r="P20" s="53">
        <f t="shared" si="3"/>
        <v>7.33</v>
      </c>
      <c r="Q20" s="53">
        <f>IF(P20=0,0,MIN(P20,'00_Parametres'!$B$23))</f>
        <v>7.33</v>
      </c>
      <c r="R20" s="53">
        <f>IF(P20=0,0,MAX(0,P20-'00_Parametres'!$B$23))</f>
        <v>0</v>
      </c>
      <c r="S20" s="26"/>
      <c r="T20" s="26"/>
      <c r="U20" s="40"/>
    </row>
    <row r="21" ht="15" customHeight="1" spans="1:21" x14ac:dyDescent="0.25">
      <c r="A21" s="46">
        <v>46259</v>
      </c>
      <c r="B21" s="26" t="s">
        <v>163</v>
      </c>
      <c r="C21" s="41" t="str">
        <f>IF(B21="","",IFERROR(VLOOKUP(B21,Employes[[ID]:[Nom Complet]],4,FALSE()),""))</f>
        <v>Pandja Tchatchoua Syriane</v>
      </c>
      <c r="D21" s="47" t="str">
        <f t="shared" si="0"/>
        <v>dddd</v>
      </c>
      <c r="E21" s="48">
        <f>IF(A21="","",IFERROR(INDEX('00_Parametres'!$C$7:$C$13,WEEKDAY(A21,2)),""))</f>
        <v>0.3125</v>
      </c>
      <c r="F21" s="48">
        <f>IF(A21="","",IFERROR(INDEX('00_Parametres'!$D$7:$D$13,WEEKDAY(A21,2)),""))</f>
        <v>0.75</v>
      </c>
      <c r="G21" s="49">
        <f>IF(A21="","",IFERROR(INDEX('00_Parametres'!$E$7:$E$13,WEEKDAY(A21,2)),0))</f>
        <v>1</v>
      </c>
      <c r="H21" s="50">
        <v>0.4791666666678793</v>
      </c>
      <c r="I21" s="50">
        <v>0.75</v>
      </c>
      <c r="J21" s="51" t="s">
        <v>70</v>
      </c>
      <c r="K21" s="51" t="s">
        <v>70</v>
      </c>
      <c r="L21" s="48">
        <f>IF(OR(A21="",H21=""),"",IF(H21&lt;E21,IF(OR(J21="Oui",'00_Parametres'!$B$28="Oui"),H21,E21),H21))</f>
        <v>0.4791666666678793</v>
      </c>
      <c r="M21" s="48">
        <f>IF(OR(A21="",I21=""),"",IF(I21&gt;F21,IF(OR(K21="Oui",'00_Parametres'!$B$29="Oui"),I21,F21),I21))</f>
        <v>0.75</v>
      </c>
      <c r="N21" s="52">
        <f t="shared" si="1"/>
        <v>240</v>
      </c>
      <c r="O21" s="52">
        <f t="shared" si="2"/>
        <v>0</v>
      </c>
      <c r="P21" s="53">
        <f t="shared" si="3"/>
        <v>5.5</v>
      </c>
      <c r="Q21" s="53">
        <f>IF(P21=0,0,MIN(P21,'00_Parametres'!$B$23))</f>
        <v>5.5</v>
      </c>
      <c r="R21" s="53">
        <f>IF(P21=0,0,MAX(0,P21-'00_Parametres'!$B$23))</f>
        <v>0</v>
      </c>
      <c r="S21" s="26"/>
      <c r="T21" s="26"/>
      <c r="U21" s="40"/>
    </row>
    <row r="22" ht="15" customHeight="1" spans="1:21" x14ac:dyDescent="0.25">
      <c r="A22" s="46">
        <v>46259</v>
      </c>
      <c r="B22" s="26" t="s">
        <v>167</v>
      </c>
      <c r="C22" s="41" t="str">
        <f>IF(B22="","",IFERROR(VLOOKUP(B22,Employes[[ID]:[Nom Complet]],4,FALSE()),""))</f>
        <v>Takoueta Yvan</v>
      </c>
      <c r="D22" s="47" t="str">
        <f t="shared" si="0"/>
        <v>dddd</v>
      </c>
      <c r="E22" s="48">
        <f>IF(A22="","",IFERROR(INDEX('00_Parametres'!$C$7:$C$13,WEEKDAY(A22,2)),""))</f>
        <v>0.3125</v>
      </c>
      <c r="F22" s="48">
        <f>IF(A22="","",IFERROR(INDEX('00_Parametres'!$D$7:$D$13,WEEKDAY(A22,2)),""))</f>
        <v>0.75</v>
      </c>
      <c r="G22" s="49">
        <f>IF(A22="","",IFERROR(INDEX('00_Parametres'!$E$7:$E$13,WEEKDAY(A22,2)),0))</f>
        <v>1</v>
      </c>
      <c r="H22" s="50">
        <v>0.375</v>
      </c>
      <c r="I22" s="50">
        <v>0.8541666666678793</v>
      </c>
      <c r="J22" s="51" t="s">
        <v>70</v>
      </c>
      <c r="K22" s="51" t="s">
        <v>70</v>
      </c>
      <c r="L22" s="48">
        <f>IF(OR(A22="",H22=""),"",IF(H22&lt;E22,IF(OR(J22="Oui",'00_Parametres'!$B$28="Oui"),H22,E22),H22))</f>
        <v>0.375</v>
      </c>
      <c r="M22" s="48">
        <f>IF(OR(A22="",I22=""),"",IF(I22&gt;F22,IF(OR(K22="Oui",'00_Parametres'!$B$29="Oui"),I22,F22),I22))</f>
        <v>0.75</v>
      </c>
      <c r="N22" s="52">
        <f t="shared" si="1"/>
        <v>90</v>
      </c>
      <c r="O22" s="52">
        <f t="shared" si="2"/>
        <v>0</v>
      </c>
      <c r="P22" s="53">
        <f t="shared" si="3"/>
        <v>8</v>
      </c>
      <c r="Q22" s="53">
        <f>IF(P22=0,0,MIN(P22,'00_Parametres'!$B$23))</f>
        <v>8</v>
      </c>
      <c r="R22" s="53">
        <f>IF(P22=0,0,MAX(0,P22-'00_Parametres'!$B$23))</f>
        <v>0</v>
      </c>
      <c r="S22" s="26"/>
      <c r="T22" s="26"/>
      <c r="U22" s="40"/>
    </row>
    <row r="23" ht="15" customHeight="1" spans="1:21" x14ac:dyDescent="0.25">
      <c r="A23" s="46">
        <v>46259</v>
      </c>
      <c r="B23" s="26" t="s">
        <v>171</v>
      </c>
      <c r="C23" s="41" t="str">
        <f>IF(B23="","",IFERROR(VLOOKUP(B23,Employes[[ID]:[Nom Complet]],4,FALSE()),""))</f>
        <v>Chekep Faustin</v>
      </c>
      <c r="D23" s="47" t="str">
        <f t="shared" si="0"/>
        <v>dddd</v>
      </c>
      <c r="E23" s="48">
        <f>IF(A23="","",IFERROR(INDEX('00_Parametres'!$C$7:$C$13,WEEKDAY(A23,2)),""))</f>
        <v>0.3125</v>
      </c>
      <c r="F23" s="48">
        <f>IF(A23="","",IFERROR(INDEX('00_Parametres'!$D$7:$D$13,WEEKDAY(A23,2)),""))</f>
        <v>0.75</v>
      </c>
      <c r="G23" s="49">
        <f>IF(A23="","",IFERROR(INDEX('00_Parametres'!$E$7:$E$13,WEEKDAY(A23,2)),0))</f>
        <v>1</v>
      </c>
      <c r="H23" s="50">
        <v>0.33541666666496894</v>
      </c>
      <c r="I23" s="50">
        <v>0.7916666666678793</v>
      </c>
      <c r="J23" s="51" t="s">
        <v>70</v>
      </c>
      <c r="K23" s="51" t="s">
        <v>70</v>
      </c>
      <c r="L23" s="48">
        <f>IF(OR(A23="",H23=""),"",IF(H23&lt;E23,IF(OR(J23="Oui",'00_Parametres'!$B$28="Oui"),H23,E23),H23))</f>
        <v>0.33541666666496894</v>
      </c>
      <c r="M23" s="48">
        <f>IF(OR(A23="",I23=""),"",IF(I23&gt;F23,IF(OR(K23="Oui",'00_Parametres'!$B$29="Oui"),I23,F23),I23))</f>
        <v>0.75</v>
      </c>
      <c r="N23" s="52">
        <f t="shared" si="1"/>
        <v>33</v>
      </c>
      <c r="O23" s="52">
        <f t="shared" si="2"/>
        <v>0</v>
      </c>
      <c r="P23" s="53">
        <f t="shared" si="3"/>
        <v>8.95</v>
      </c>
      <c r="Q23" s="53">
        <f>IF(P23=0,0,MIN(P23,'00_Parametres'!$B$23))</f>
        <v>8.95</v>
      </c>
      <c r="R23" s="53">
        <f>IF(P23=0,0,MAX(0,P23-'00_Parametres'!$B$23))</f>
        <v>0</v>
      </c>
      <c r="S23" s="26"/>
      <c r="T23" s="26"/>
      <c r="U23" s="40"/>
    </row>
    <row r="24" ht="15" customHeight="1" spans="1:21" x14ac:dyDescent="0.25">
      <c r="A24" s="46">
        <v>46259</v>
      </c>
      <c r="B24" s="26" t="s">
        <v>175</v>
      </c>
      <c r="C24" s="41" t="str">
        <f>IF(B24="","",IFERROR(VLOOKUP(B24,Employes[[ID]:[Nom Complet]],4,FALSE()),""))</f>
        <v>Abdou</v>
      </c>
      <c r="D24" s="47" t="str">
        <f t="shared" si="0"/>
        <v>dddd</v>
      </c>
      <c r="E24" s="48">
        <f>IF(A24="","",IFERROR(INDEX('00_Parametres'!$C$7:$C$13,WEEKDAY(A24,2)),""))</f>
        <v>0.3125</v>
      </c>
      <c r="F24" s="48">
        <f>IF(A24="","",IFERROR(INDEX('00_Parametres'!$D$7:$D$13,WEEKDAY(A24,2)),""))</f>
        <v>0.75</v>
      </c>
      <c r="G24" s="49">
        <f>IF(A24="","",IFERROR(INDEX('00_Parametres'!$E$7:$E$13,WEEKDAY(A24,2)),0))</f>
        <v>1</v>
      </c>
      <c r="H24" s="50">
        <v>0.3333333333321207</v>
      </c>
      <c r="I24" s="50">
        <v>0.7916666666678793</v>
      </c>
      <c r="J24" s="51" t="s">
        <v>70</v>
      </c>
      <c r="K24" s="51" t="s">
        <v>70</v>
      </c>
      <c r="L24" s="48">
        <f>IF(OR(A24="",H24=""),"",IF(H24&lt;E24,IF(OR(J24="Oui",'00_Parametres'!$B$28="Oui"),H24,E24),H24))</f>
        <v>0.3333333333321207</v>
      </c>
      <c r="M24" s="48">
        <f>IF(OR(A24="",I24=""),"",IF(I24&gt;F24,IF(OR(K24="Oui",'00_Parametres'!$B$29="Oui"),I24,F24),I24))</f>
        <v>0.75</v>
      </c>
      <c r="N24" s="52">
        <f t="shared" si="1"/>
        <v>30</v>
      </c>
      <c r="O24" s="52">
        <f t="shared" si="2"/>
        <v>0</v>
      </c>
      <c r="P24" s="53">
        <f t="shared" si="3"/>
        <v>9</v>
      </c>
      <c r="Q24" s="53">
        <f>IF(P24=0,0,MIN(P24,'00_Parametres'!$B$23))</f>
        <v>9</v>
      </c>
      <c r="R24" s="53">
        <f>IF(P24=0,0,MAX(0,P24-'00_Parametres'!$B$23))</f>
        <v>0</v>
      </c>
      <c r="S24" s="26"/>
      <c r="T24" s="26"/>
      <c r="U24" s="40"/>
    </row>
    <row r="25" ht="15" customHeight="1" spans="1:21" x14ac:dyDescent="0.25">
      <c r="A25" s="46">
        <v>46259</v>
      </c>
      <c r="B25" s="26" t="s">
        <v>178</v>
      </c>
      <c r="C25" s="41" t="str">
        <f>IF(B25="","",IFERROR(VLOOKUP(B25,Employes[[ID]:[Nom Complet]],4,FALSE()),""))</f>
        <v>Nyontyen Si Jean Vinny</v>
      </c>
      <c r="D25" s="47" t="str">
        <f t="shared" si="0"/>
        <v>dddd</v>
      </c>
      <c r="E25" s="48">
        <f>IF(A25="","",IFERROR(INDEX('00_Parametres'!$C$7:$C$13,WEEKDAY(A25,2)),""))</f>
        <v>0.3125</v>
      </c>
      <c r="F25" s="48">
        <f>IF(A25="","",IFERROR(INDEX('00_Parametres'!$D$7:$D$13,WEEKDAY(A25,2)),""))</f>
        <v>0.75</v>
      </c>
      <c r="G25" s="49">
        <f>IF(A25="","",IFERROR(INDEX('00_Parametres'!$E$7:$E$13,WEEKDAY(A25,2)),0))</f>
        <v>1</v>
      </c>
      <c r="H25" s="50">
        <v>0.34791666666569654</v>
      </c>
      <c r="I25" s="50">
        <v>0.75</v>
      </c>
      <c r="J25" s="51" t="s">
        <v>70</v>
      </c>
      <c r="K25" s="51" t="s">
        <v>70</v>
      </c>
      <c r="L25" s="48">
        <f>IF(OR(A25="",H25=""),"",IF(H25&lt;E25,IF(OR(J25="Oui",'00_Parametres'!$B$28="Oui"),H25,E25),H25))</f>
        <v>0.34791666666569654</v>
      </c>
      <c r="M25" s="48">
        <f>IF(OR(A25="",I25=""),"",IF(I25&gt;F25,IF(OR(K25="Oui",'00_Parametres'!$B$29="Oui"),I25,F25),I25))</f>
        <v>0.75</v>
      </c>
      <c r="N25" s="52">
        <f t="shared" si="1"/>
        <v>51</v>
      </c>
      <c r="O25" s="52">
        <f t="shared" si="2"/>
        <v>0</v>
      </c>
      <c r="P25" s="53">
        <f t="shared" si="3"/>
        <v>8.65</v>
      </c>
      <c r="Q25" s="53">
        <f>IF(P25=0,0,MIN(P25,'00_Parametres'!$B$23))</f>
        <v>8.65</v>
      </c>
      <c r="R25" s="53">
        <f>IF(P25=0,0,MAX(0,P25-'00_Parametres'!$B$23))</f>
        <v>0</v>
      </c>
      <c r="S25" s="26"/>
      <c r="T25" s="26"/>
      <c r="U25" s="40"/>
    </row>
    <row r="26" ht="15" customHeight="1" spans="1:21" x14ac:dyDescent="0.25">
      <c r="A26" s="46">
        <v>46259</v>
      </c>
      <c r="B26" s="26" t="s">
        <v>182</v>
      </c>
      <c r="C26" s="41" t="str">
        <f>IF(B26="","",IFERROR(VLOOKUP(B26,Employes[[ID]:[Nom Complet]],4,FALSE()),""))</f>
        <v>Holé Homsala</v>
      </c>
      <c r="D26" s="47" t="str">
        <f t="shared" si="0"/>
        <v>dddd</v>
      </c>
      <c r="E26" s="48">
        <f>IF(A26="","",IFERROR(INDEX('00_Parametres'!$C$7:$C$13,WEEKDAY(A26,2)),""))</f>
        <v>0.3125</v>
      </c>
      <c r="F26" s="48">
        <f>IF(A26="","",IFERROR(INDEX('00_Parametres'!$D$7:$D$13,WEEKDAY(A26,2)),""))</f>
        <v>0.75</v>
      </c>
      <c r="G26" s="49">
        <f>IF(A26="","",IFERROR(INDEX('00_Parametres'!$E$7:$E$13,WEEKDAY(A26,2)),0))</f>
        <v>1</v>
      </c>
      <c r="H26" s="50">
        <v>0.3569444444437977</v>
      </c>
      <c r="I26" s="50">
        <v>0.7916666666678793</v>
      </c>
      <c r="J26" s="51" t="s">
        <v>70</v>
      </c>
      <c r="K26" s="51" t="s">
        <v>70</v>
      </c>
      <c r="L26" s="48">
        <f>IF(OR(A26="",H26=""),"",IF(H26&lt;E26,IF(OR(J26="Oui",'00_Parametres'!$B$28="Oui"),H26,E26),H26))</f>
        <v>0.3569444444437977</v>
      </c>
      <c r="M26" s="48">
        <f>IF(OR(A26="",I26=""),"",IF(I26&gt;F26,IF(OR(K26="Oui",'00_Parametres'!$B$29="Oui"),I26,F26),I26))</f>
        <v>0.75</v>
      </c>
      <c r="N26" s="52">
        <f t="shared" si="1"/>
        <v>64</v>
      </c>
      <c r="O26" s="52">
        <f t="shared" si="2"/>
        <v>0</v>
      </c>
      <c r="P26" s="53">
        <f t="shared" si="3"/>
        <v>8.43</v>
      </c>
      <c r="Q26" s="53">
        <f>IF(P26=0,0,MIN(P26,'00_Parametres'!$B$23))</f>
        <v>8.43</v>
      </c>
      <c r="R26" s="53">
        <f>IF(P26=0,0,MAX(0,P26-'00_Parametres'!$B$23))</f>
        <v>0</v>
      </c>
      <c r="S26" s="26"/>
      <c r="T26" s="26"/>
      <c r="U26" s="40"/>
    </row>
    <row r="27" ht="15" customHeight="1" spans="1:21" x14ac:dyDescent="0.25">
      <c r="A27" s="46">
        <v>46259</v>
      </c>
      <c r="B27" s="26" t="s">
        <v>187</v>
      </c>
      <c r="C27" s="41" t="str">
        <f>IF(B27="","",IFERROR(VLOOKUP(B27,Employes[[ID]:[Nom Complet]],4,FALSE()),""))</f>
        <v>Ebene Ngono</v>
      </c>
      <c r="D27" s="47" t="str">
        <f t="shared" si="0"/>
        <v>dddd</v>
      </c>
      <c r="E27" s="48">
        <f>IF(A27="","",IFERROR(INDEX('00_Parametres'!$C$7:$C$13,WEEKDAY(A27,2)),""))</f>
        <v>0.3125</v>
      </c>
      <c r="F27" s="48">
        <f>IF(A27="","",IFERROR(INDEX('00_Parametres'!$D$7:$D$13,WEEKDAY(A27,2)),""))</f>
        <v>0.75</v>
      </c>
      <c r="G27" s="49">
        <f>IF(A27="","",IFERROR(INDEX('00_Parametres'!$E$7:$E$13,WEEKDAY(A27,2)),0))</f>
        <v>1</v>
      </c>
      <c r="H27" s="50">
        <v>0.3194444444452529</v>
      </c>
      <c r="I27" s="50">
        <v>0.7916666666678793</v>
      </c>
      <c r="J27" s="51" t="s">
        <v>70</v>
      </c>
      <c r="K27" s="51" t="s">
        <v>70</v>
      </c>
      <c r="L27" s="48">
        <f>IF(OR(A27="",H27=""),"",IF(H27&lt;E27,IF(OR(J27="Oui",'00_Parametres'!$B$28="Oui"),H27,E27),H27))</f>
        <v>0.3194444444452529</v>
      </c>
      <c r="M27" s="48">
        <f>IF(OR(A27="",I27=""),"",IF(I27&gt;F27,IF(OR(K27="Oui",'00_Parametres'!$B$29="Oui"),I27,F27),I27))</f>
        <v>0.75</v>
      </c>
      <c r="N27" s="52">
        <f t="shared" si="1"/>
        <v>10</v>
      </c>
      <c r="O27" s="52">
        <f t="shared" si="2"/>
        <v>0</v>
      </c>
      <c r="P27" s="53">
        <f t="shared" si="3"/>
        <v>9.33</v>
      </c>
      <c r="Q27" s="53">
        <f>IF(P27=0,0,MIN(P27,'00_Parametres'!$B$23))</f>
        <v>9.33</v>
      </c>
      <c r="R27" s="53">
        <f>IF(P27=0,0,MAX(0,P27-'00_Parametres'!$B$23))</f>
        <v>0</v>
      </c>
      <c r="S27" s="26"/>
      <c r="T27" s="26"/>
      <c r="U27" s="40"/>
    </row>
    <row r="28" ht="15" customHeight="1" spans="1:21" x14ac:dyDescent="0.25">
      <c r="A28" s="46">
        <v>46259</v>
      </c>
      <c r="B28" s="26" t="s">
        <v>191</v>
      </c>
      <c r="C28" s="41" t="str">
        <f>IF(B28="","",IFERROR(VLOOKUP(B28,Employes[[ID]:[Nom Complet]],4,FALSE()),""))</f>
        <v>Tineba Vital Eric</v>
      </c>
      <c r="D28" s="47" t="str">
        <f t="shared" si="0"/>
        <v>dddd</v>
      </c>
      <c r="E28" s="48">
        <f>IF(A28="","",IFERROR(INDEX('00_Parametres'!$C$7:$C$13,WEEKDAY(A28,2)),""))</f>
        <v>0.3125</v>
      </c>
      <c r="F28" s="48">
        <f>IF(A28="","",IFERROR(INDEX('00_Parametres'!$D$7:$D$13,WEEKDAY(A28,2)),""))</f>
        <v>0.75</v>
      </c>
      <c r="G28" s="49">
        <f>IF(A28="","",IFERROR(INDEX('00_Parametres'!$E$7:$E$13,WEEKDAY(A28,2)),0))</f>
        <v>1</v>
      </c>
      <c r="H28" s="50">
        <v>0.34375</v>
      </c>
      <c r="I28" s="50">
        <v>0.7916666666678793</v>
      </c>
      <c r="J28" s="51" t="s">
        <v>70</v>
      </c>
      <c r="K28" s="51" t="s">
        <v>70</v>
      </c>
      <c r="L28" s="48">
        <f>IF(OR(A28="",H28=""),"",IF(H28&lt;E28,IF(OR(J28="Oui",'00_Parametres'!$B$28="Oui"),H28,E28),H28))</f>
        <v>0.34375</v>
      </c>
      <c r="M28" s="48">
        <f>IF(OR(A28="",I28=""),"",IF(I28&gt;F28,IF(OR(K28="Oui",'00_Parametres'!$B$29="Oui"),I28,F28),I28))</f>
        <v>0.75</v>
      </c>
      <c r="N28" s="52">
        <f t="shared" si="1"/>
        <v>45</v>
      </c>
      <c r="O28" s="52">
        <f t="shared" si="2"/>
        <v>0</v>
      </c>
      <c r="P28" s="53">
        <f t="shared" si="3"/>
        <v>8.75</v>
      </c>
      <c r="Q28" s="53">
        <f>IF(P28=0,0,MIN(P28,'00_Parametres'!$B$23))</f>
        <v>8.75</v>
      </c>
      <c r="R28" s="53">
        <f>IF(P28=0,0,MAX(0,P28-'00_Parametres'!$B$23))</f>
        <v>0</v>
      </c>
      <c r="S28" s="26"/>
      <c r="T28" s="26"/>
      <c r="U28" s="40"/>
    </row>
    <row r="29" ht="15" customHeight="1" spans="1:21" x14ac:dyDescent="0.25">
      <c r="A29" s="46">
        <v>46259</v>
      </c>
      <c r="B29" s="26" t="s">
        <v>195</v>
      </c>
      <c r="C29" s="41" t="str">
        <f>IF(B29="","",IFERROR(VLOOKUP(B29,Employes[[ID]:[Nom Complet]],4,FALSE()),""))</f>
        <v>Deutchoua Tientcheu Christian</v>
      </c>
      <c r="D29" s="47" t="str">
        <f t="shared" si="0"/>
        <v>dddd</v>
      </c>
      <c r="E29" s="48">
        <f>IF(A29="","",IFERROR(INDEX('00_Parametres'!$C$7:$C$13,WEEKDAY(A29,2)),""))</f>
        <v>0.3125</v>
      </c>
      <c r="F29" s="48">
        <f>IF(A29="","",IFERROR(INDEX('00_Parametres'!$D$7:$D$13,WEEKDAY(A29,2)),""))</f>
        <v>0.75</v>
      </c>
      <c r="G29" s="49">
        <f>IF(A29="","",IFERROR(INDEX('00_Parametres'!$E$7:$E$13,WEEKDAY(A29,2)),0))</f>
        <v>1</v>
      </c>
      <c r="H29" s="50">
        <v>0.5</v>
      </c>
      <c r="I29" s="50">
        <v>0.8125</v>
      </c>
      <c r="J29" s="51" t="s">
        <v>70</v>
      </c>
      <c r="K29" s="51" t="s">
        <v>70</v>
      </c>
      <c r="L29" s="48">
        <f>IF(OR(A29="",H29=""),"",IF(H29&lt;E29,IF(OR(J29="Oui",'00_Parametres'!$B$28="Oui"),H29,E29),H29))</f>
        <v>0.5</v>
      </c>
      <c r="M29" s="48">
        <f>IF(OR(A29="",I29=""),"",IF(I29&gt;F29,IF(OR(K29="Oui",'00_Parametres'!$B$29="Oui"),I29,F29),I29))</f>
        <v>0.75</v>
      </c>
      <c r="N29" s="52">
        <f t="shared" si="1"/>
        <v>270</v>
      </c>
      <c r="O29" s="52">
        <f t="shared" si="2"/>
        <v>0</v>
      </c>
      <c r="P29" s="53">
        <f t="shared" si="3"/>
        <v>5</v>
      </c>
      <c r="Q29" s="53">
        <f>IF(P29=0,0,MIN(P29,'00_Parametres'!$B$23))</f>
        <v>5</v>
      </c>
      <c r="R29" s="53">
        <f>IF(P29=0,0,MAX(0,P29-'00_Parametres'!$B$23))</f>
        <v>0</v>
      </c>
      <c r="S29" s="26"/>
      <c r="T29" s="26"/>
      <c r="U29" s="40"/>
    </row>
    <row r="30" ht="15" customHeight="1" spans="1:21" x14ac:dyDescent="0.25">
      <c r="A30" s="46">
        <v>46259</v>
      </c>
      <c r="B30" s="26" t="s">
        <v>199</v>
      </c>
      <c r="C30" s="41" t="str">
        <f>IF(B30="","",IFERROR(VLOOKUP(B30,Employes[[ID]:[Nom Complet]],4,FALSE()),""))</f>
        <v>Fouakouet Youssoufa</v>
      </c>
      <c r="D30" s="47" t="str">
        <f t="shared" si="0"/>
        <v>dddd</v>
      </c>
      <c r="E30" s="48">
        <f>IF(A30="","",IFERROR(INDEX('00_Parametres'!$C$7:$C$13,WEEKDAY(A30,2)),""))</f>
        <v>0.3125</v>
      </c>
      <c r="F30" s="48">
        <f>IF(A30="","",IFERROR(INDEX('00_Parametres'!$D$7:$D$13,WEEKDAY(A30,2)),""))</f>
        <v>0.75</v>
      </c>
      <c r="G30" s="49">
        <f>IF(A30="","",IFERROR(INDEX('00_Parametres'!$E$7:$E$13,WEEKDAY(A30,2)),0))</f>
        <v>1</v>
      </c>
      <c r="H30" s="50">
        <v>0.4166666666678793</v>
      </c>
      <c r="I30" s="50">
        <v>0.75</v>
      </c>
      <c r="J30" s="51" t="s">
        <v>70</v>
      </c>
      <c r="K30" s="51" t="s">
        <v>70</v>
      </c>
      <c r="L30" s="48">
        <f>IF(OR(A30="",H30=""),"",IF(H30&lt;E30,IF(OR(J30="Oui",'00_Parametres'!$B$28="Oui"),H30,E30),H30))</f>
        <v>0.4166666666678793</v>
      </c>
      <c r="M30" s="48">
        <f>IF(OR(A30="",I30=""),"",IF(I30&gt;F30,IF(OR(K30="Oui",'00_Parametres'!$B$29="Oui"),I30,F30),I30))</f>
        <v>0.75</v>
      </c>
      <c r="N30" s="52">
        <f t="shared" si="1"/>
        <v>150</v>
      </c>
      <c r="O30" s="52">
        <f t="shared" si="2"/>
        <v>0</v>
      </c>
      <c r="P30" s="53">
        <f t="shared" si="3"/>
        <v>7</v>
      </c>
      <c r="Q30" s="53">
        <f>IF(P30=0,0,MIN(P30,'00_Parametres'!$B$23))</f>
        <v>7</v>
      </c>
      <c r="R30" s="53">
        <f>IF(P30=0,0,MAX(0,P30-'00_Parametres'!$B$23))</f>
        <v>0</v>
      </c>
      <c r="S30" s="26"/>
      <c r="T30" s="26"/>
      <c r="U30" s="40"/>
    </row>
    <row r="31" ht="15" customHeight="1" spans="1:21" x14ac:dyDescent="0.25">
      <c r="A31" s="46">
        <v>46259</v>
      </c>
      <c r="B31" s="26" t="s">
        <v>203</v>
      </c>
      <c r="C31" s="41" t="str">
        <f>IF(B31="","",IFERROR(VLOOKUP(B31,Employes[[ID]:[Nom Complet]],4,FALSE()),""))</f>
        <v>Ngouamera Adrien Gildas</v>
      </c>
      <c r="D31" s="47" t="str">
        <f t="shared" si="0"/>
        <v>dddd</v>
      </c>
      <c r="E31" s="48">
        <f>IF(A31="","",IFERROR(INDEX('00_Parametres'!$C$7:$C$13,WEEKDAY(A31,2)),""))</f>
        <v>0.3125</v>
      </c>
      <c r="F31" s="48">
        <f>IF(A31="","",IFERROR(INDEX('00_Parametres'!$D$7:$D$13,WEEKDAY(A31,2)),""))</f>
        <v>0.75</v>
      </c>
      <c r="G31" s="49">
        <f>IF(A31="","",IFERROR(INDEX('00_Parametres'!$E$7:$E$13,WEEKDAY(A31,2)),0))</f>
        <v>1</v>
      </c>
      <c r="H31" s="50">
        <v>0.336111111111677</v>
      </c>
      <c r="I31" s="50">
        <v>0.7916666666678793</v>
      </c>
      <c r="J31" s="51" t="s">
        <v>70</v>
      </c>
      <c r="K31" s="51" t="s">
        <v>70</v>
      </c>
      <c r="L31" s="48">
        <f>IF(OR(A31="",H31=""),"",IF(H31&lt;E31,IF(OR(J31="Oui",'00_Parametres'!$B$28="Oui"),H31,E31),H31))</f>
        <v>0.336111111111677</v>
      </c>
      <c r="M31" s="48">
        <f>IF(OR(A31="",I31=""),"",IF(I31&gt;F31,IF(OR(K31="Oui",'00_Parametres'!$B$29="Oui"),I31,F31),I31))</f>
        <v>0.75</v>
      </c>
      <c r="N31" s="52">
        <f t="shared" si="1"/>
        <v>34</v>
      </c>
      <c r="O31" s="52">
        <f t="shared" si="2"/>
        <v>0</v>
      </c>
      <c r="P31" s="53">
        <f t="shared" si="3"/>
        <v>8.93</v>
      </c>
      <c r="Q31" s="53">
        <f>IF(P31=0,0,MIN(P31,'00_Parametres'!$B$23))</f>
        <v>8.93</v>
      </c>
      <c r="R31" s="53">
        <f>IF(P31=0,0,MAX(0,P31-'00_Parametres'!$B$23))</f>
        <v>0</v>
      </c>
      <c r="S31" s="26"/>
      <c r="T31" s="26"/>
      <c r="U31" s="40"/>
    </row>
    <row r="32" ht="15" customHeight="1" spans="1:21" x14ac:dyDescent="0.25">
      <c r="A32" s="46">
        <v>46259</v>
      </c>
      <c r="B32" s="26" t="s">
        <v>207</v>
      </c>
      <c r="C32" s="41" t="str">
        <f>IF(B32="","",IFERROR(VLOOKUP(B32,Employes[[ID]:[Nom Complet]],4,FALSE()),""))</f>
        <v>Nague Zemdjui Arnaud</v>
      </c>
      <c r="D32" s="47" t="str">
        <f t="shared" si="0"/>
        <v>dddd</v>
      </c>
      <c r="E32" s="48">
        <f>IF(A32="","",IFERROR(INDEX('00_Parametres'!$C$7:$C$13,WEEKDAY(A32,2)),""))</f>
        <v>0.3125</v>
      </c>
      <c r="F32" s="48">
        <f>IF(A32="","",IFERROR(INDEX('00_Parametres'!$D$7:$D$13,WEEKDAY(A32,2)),""))</f>
        <v>0.75</v>
      </c>
      <c r="G32" s="49">
        <f>IF(A32="","",IFERROR(INDEX('00_Parametres'!$E$7:$E$13,WEEKDAY(A32,2)),0))</f>
        <v>1</v>
      </c>
      <c r="H32" s="50">
        <v>0.3125</v>
      </c>
      <c r="I32" s="50">
        <v>0.75</v>
      </c>
      <c r="J32" s="51" t="s">
        <v>70</v>
      </c>
      <c r="K32" s="51" t="s">
        <v>70</v>
      </c>
      <c r="L32" s="48">
        <f>IF(OR(A32="",H32=""),"",IF(H32&lt;E32,IF(OR(J32="Oui",'00_Parametres'!$B$28="Oui"),H32,E32),H32))</f>
        <v>0.3125</v>
      </c>
      <c r="M32" s="48">
        <f>IF(OR(A32="",I32=""),"",IF(I32&gt;F32,IF(OR(K32="Oui",'00_Parametres'!$B$29="Oui"),I32,F32),I32))</f>
        <v>0.75</v>
      </c>
      <c r="N32" s="52">
        <f t="shared" si="1"/>
        <v>0</v>
      </c>
      <c r="O32" s="52">
        <f t="shared" si="2"/>
        <v>0</v>
      </c>
      <c r="P32" s="53">
        <f t="shared" si="3"/>
        <v>9.5</v>
      </c>
      <c r="Q32" s="53">
        <f>IF(P32=0,0,MIN(P32,'00_Parametres'!$B$23))</f>
        <v>9.5</v>
      </c>
      <c r="R32" s="53">
        <f>IF(P32=0,0,MAX(0,P32-'00_Parametres'!$B$23))</f>
        <v>0</v>
      </c>
      <c r="S32" s="26"/>
      <c r="T32" s="26"/>
      <c r="U32" s="40"/>
    </row>
    <row r="33" ht="15" customHeight="1" spans="1:21" x14ac:dyDescent="0.25">
      <c r="A33" s="46">
        <v>46259</v>
      </c>
      <c r="B33" s="26" t="s">
        <v>212</v>
      </c>
      <c r="C33" s="41" t="str">
        <f>IF(B33="","",IFERROR(VLOOKUP(B33,Employes[[ID]:[Nom Complet]],4,FALSE()),""))</f>
        <v>Zo'o Mbarga Jean Loic</v>
      </c>
      <c r="D33" s="47" t="str">
        <f t="shared" si="0"/>
        <v>dddd</v>
      </c>
      <c r="E33" s="48">
        <f>IF(A33="","",IFERROR(INDEX('00_Parametres'!$C$7:$C$13,WEEKDAY(A33,2)),""))</f>
        <v>0.3125</v>
      </c>
      <c r="F33" s="48">
        <f>IF(A33="","",IFERROR(INDEX('00_Parametres'!$D$7:$D$13,WEEKDAY(A33,2)),""))</f>
        <v>0.75</v>
      </c>
      <c r="G33" s="49">
        <f>IF(A33="","",IFERROR(INDEX('00_Parametres'!$E$7:$E$13,WEEKDAY(A33,2)),0))</f>
        <v>1</v>
      </c>
      <c r="H33" s="50">
        <v>0.3333333333321207</v>
      </c>
      <c r="I33" s="50">
        <v>0.75</v>
      </c>
      <c r="J33" s="51" t="s">
        <v>70</v>
      </c>
      <c r="K33" s="51" t="s">
        <v>70</v>
      </c>
      <c r="L33" s="48">
        <f>IF(OR(A33="",H33=""),"",IF(H33&lt;E33,IF(OR(J33="Oui",'00_Parametres'!$B$28="Oui"),H33,E33),H33))</f>
        <v>0.3333333333321207</v>
      </c>
      <c r="M33" s="48">
        <f>IF(OR(A33="",I33=""),"",IF(I33&gt;F33,IF(OR(K33="Oui",'00_Parametres'!$B$29="Oui"),I33,F33),I33))</f>
        <v>0.75</v>
      </c>
      <c r="N33" s="52">
        <f t="shared" si="1"/>
        <v>30</v>
      </c>
      <c r="O33" s="52">
        <f t="shared" si="2"/>
        <v>0</v>
      </c>
      <c r="P33" s="53">
        <f t="shared" si="3"/>
        <v>9</v>
      </c>
      <c r="Q33" s="53">
        <f>IF(P33=0,0,MIN(P33,'00_Parametres'!$B$23))</f>
        <v>9</v>
      </c>
      <c r="R33" s="53">
        <f>IF(P33=0,0,MAX(0,P33-'00_Parametres'!$B$23))</f>
        <v>0</v>
      </c>
      <c r="S33" s="26"/>
      <c r="T33" s="26"/>
      <c r="U33" s="40"/>
    </row>
    <row r="34" ht="15" customHeight="1" spans="1:21" s="67" customFormat="1" x14ac:dyDescent="0.25">
      <c r="A34" s="55"/>
      <c r="B34" s="56"/>
      <c r="C34" s="57">
        <f>IF(B34="","",IFERROR(VLOOKUP(B34,Employes[[ID]:[Nom Complet]],4,FALSE()),""))</f>
      </c>
      <c r="D34" s="58">
        <f t="shared" si="0"/>
      </c>
      <c r="E34" s="59">
        <f>IF(A34="","",IFERROR(INDEX('00_Parametres'!$C$7:$C$13,WEEKDAY(A34,2)),""))</f>
      </c>
      <c r="F34" s="59">
        <f>IF(A34="","",IFERROR(INDEX('00_Parametres'!$D$7:$D$13,WEEKDAY(A34,2)),""))</f>
      </c>
      <c r="G34" s="60">
        <f>IF(A34="","",IFERROR(INDEX('00_Parametres'!$E$7:$E$13,WEEKDAY(A34,2)),0))</f>
      </c>
      <c r="H34" s="61"/>
      <c r="I34" s="61"/>
      <c r="J34" s="62" t="s">
        <v>70</v>
      </c>
      <c r="K34" s="62" t="s">
        <v>70</v>
      </c>
      <c r="L34" s="59">
        <f>IF(OR(A34="",H34=""),"",IF(H34&lt;E34,IF(OR(J34="Oui",'00_Parametres'!$B$28="Oui"),H34,E34),H34))</f>
      </c>
      <c r="M34" s="59">
        <f>IF(OR(A34="",I34=""),"",IF(I34&gt;F34,IF(OR(K34="Oui",'00_Parametres'!$B$29="Oui"),I34,F34),I34))</f>
      </c>
      <c r="N34" s="63">
        <f t="shared" si="1"/>
        <v>0</v>
      </c>
      <c r="O34" s="63">
        <f t="shared" si="2"/>
        <v>0</v>
      </c>
      <c r="P34" s="64">
        <f t="shared" si="3"/>
        <v>0</v>
      </c>
      <c r="Q34" s="64">
        <f>IF(P34=0,0,MIN(P34,'00_Parametres'!$B$23))</f>
        <v>0</v>
      </c>
      <c r="R34" s="64">
        <f>IF(P34=0,0,MAX(0,P34-'00_Parametres'!$B$23))</f>
        <v>0</v>
      </c>
      <c r="S34" s="56"/>
      <c r="T34" s="65"/>
      <c r="U34" s="66"/>
    </row>
    <row r="35" ht="15" customHeight="1" spans="1:21" x14ac:dyDescent="0.25">
      <c r="A35" s="68">
        <v>46260</v>
      </c>
      <c r="B35" s="26" t="s">
        <v>159</v>
      </c>
      <c r="C35" s="41" t="str">
        <f>IF(B35="","",IFERROR(VLOOKUP(B35,Employes[[ID]:[Nom Complet]],4,FALSE()),""))</f>
        <v>Tsafack Ndongmo Symphonien</v>
      </c>
      <c r="D35" s="47" t="str">
        <f t="shared" si="0"/>
        <v>8/262026</v>
      </c>
      <c r="E35" s="48">
        <f>IF(A35="","",IFERROR(INDEX('00_Parametres'!$C$7:$C$13,WEEKDAY(A35,2)),""))</f>
      </c>
      <c r="F35" s="48">
        <f>IF(A35="","",IFERROR(INDEX('00_Parametres'!$D$7:$D$13,WEEKDAY(A35,2)),""))</f>
      </c>
      <c r="G35" s="49">
        <f>IF(A35="","",IFERROR(INDEX('00_Parametres'!$E$7:$E$13,WEEKDAY(A35,2)),0))</f>
        <v>0</v>
      </c>
      <c r="H35" s="50">
        <v>0.3125</v>
      </c>
      <c r="I35" s="50"/>
      <c r="J35" s="51" t="s">
        <v>70</v>
      </c>
      <c r="K35" s="51" t="s">
        <v>70</v>
      </c>
      <c r="L35" s="48">
        <f>IF(OR(A35="",H35=""),"",IF(H35&lt;E35,IF(OR(J35="Oui",'00_Parametres'!$B$28="Oui"),H35,E35),H35))</f>
      </c>
      <c r="M35" s="48">
        <f>IF(OR(A35="",I35=""),"",IF(I35&gt;F35,IF(OR(K35="Oui",'00_Parametres'!$B$29="Oui"),I35,F35),I35))</f>
      </c>
      <c r="N35" s="52">
        <f t="shared" si="1"/>
        <v>0</v>
      </c>
      <c r="O35" s="52">
        <f t="shared" si="2"/>
        <v>0</v>
      </c>
      <c r="P35" s="53">
        <f t="shared" si="3"/>
        <v>0</v>
      </c>
      <c r="Q35" s="53">
        <f>IF(P35=0,0,MIN(P35,'00_Parametres'!$B$23))</f>
        <v>0</v>
      </c>
      <c r="R35" s="53">
        <f>IF(P35=0,0,MAX(0,P35-'00_Parametres'!$B$23))</f>
        <v>0</v>
      </c>
      <c r="S35" s="26"/>
      <c r="T35" s="26"/>
      <c r="U35" s="40"/>
    </row>
    <row r="36" ht="15" customHeight="1" spans="1:21" x14ac:dyDescent="0.25">
      <c r="A36" s="68">
        <v>46260</v>
      </c>
      <c r="B36" s="26" t="s">
        <v>163</v>
      </c>
      <c r="C36" s="41" t="str">
        <f>IF(B36="","",IFERROR(VLOOKUP(B36,Employes[[ID]:[Nom Complet]],4,FALSE()),""))</f>
        <v>Pandja Tchatchoua Syriane</v>
      </c>
      <c r="D36" s="47" t="str">
        <f t="shared" si="0"/>
        <v>8/262026</v>
      </c>
      <c r="E36" s="48">
        <f>IF(A36="","",IFERROR(INDEX('00_Parametres'!$C$7:$C$13,WEEKDAY(A36,2)),""))</f>
      </c>
      <c r="F36" s="48">
        <f>IF(A36="","",IFERROR(INDEX('00_Parametres'!$D$7:$D$13,WEEKDAY(A36,2)),""))</f>
      </c>
      <c r="G36" s="49">
        <f>IF(A36="","",IFERROR(INDEX('00_Parametres'!$E$7:$E$13,WEEKDAY(A36,2)),0))</f>
        <v>0</v>
      </c>
      <c r="H36" s="50">
        <v>0.3680555555547471</v>
      </c>
      <c r="I36" s="50"/>
      <c r="J36" s="51" t="s">
        <v>70</v>
      </c>
      <c r="K36" s="51" t="s">
        <v>70</v>
      </c>
      <c r="L36" s="48">
        <f>IF(OR(A36="",H36=""),"",IF(H36&lt;E36,IF(OR(J36="Oui",'00_Parametres'!$B$28="Oui"),H36,E36),H36))</f>
      </c>
      <c r="M36" s="48">
        <f>IF(OR(A36="",I36=""),"",IF(I36&gt;F36,IF(OR(K36="Oui",'00_Parametres'!$B$29="Oui"),I36,F36),I36))</f>
      </c>
      <c r="N36" s="52">
        <f t="shared" si="1"/>
        <v>0</v>
      </c>
      <c r="O36" s="52">
        <f t="shared" si="2"/>
        <v>0</v>
      </c>
      <c r="P36" s="53">
        <f t="shared" si="3"/>
        <v>0</v>
      </c>
      <c r="Q36" s="53">
        <f>IF(P36=0,0,MIN(P36,'00_Parametres'!$B$23))</f>
        <v>0</v>
      </c>
      <c r="R36" s="53">
        <f>IF(P36=0,0,MAX(0,P36-'00_Parametres'!$B$23))</f>
        <v>0</v>
      </c>
      <c r="S36" s="26"/>
      <c r="T36" s="26"/>
      <c r="U36" s="40"/>
    </row>
    <row r="37" ht="15" customHeight="1" spans="1:21" x14ac:dyDescent="0.25">
      <c r="A37" s="68">
        <v>46260</v>
      </c>
      <c r="B37" s="26" t="s">
        <v>167</v>
      </c>
      <c r="C37" s="41" t="str">
        <f>IF(B37="","",IFERROR(VLOOKUP(B37,Employes[[ID]:[Nom Complet]],4,FALSE()),""))</f>
        <v>Takoueta Yvan</v>
      </c>
      <c r="D37" s="47" t="str">
        <f t="shared" si="0"/>
        <v>8/262026</v>
      </c>
      <c r="E37" s="48">
        <f>IF(A37="","",IFERROR(INDEX('00_Parametres'!$C$7:$C$13,WEEKDAY(A37,2)),""))</f>
      </c>
      <c r="F37" s="48">
        <f>IF(A37="","",IFERROR(INDEX('00_Parametres'!$D$7:$D$13,WEEKDAY(A37,2)),""))</f>
      </c>
      <c r="G37" s="49">
        <f>IF(A37="","",IFERROR(INDEX('00_Parametres'!$E$7:$E$13,WEEKDAY(A37,2)),0))</f>
        <v>0</v>
      </c>
      <c r="H37" s="50">
        <v>0.3333333333321207</v>
      </c>
      <c r="I37" s="50"/>
      <c r="J37" s="51" t="s">
        <v>70</v>
      </c>
      <c r="K37" s="51" t="s">
        <v>70</v>
      </c>
      <c r="L37" s="48">
        <f>IF(OR(A37="",H37=""),"",IF(H37&lt;E37,IF(OR(J37="Oui",'00_Parametres'!$B$28="Oui"),H37,E37),H37))</f>
      </c>
      <c r="M37" s="48">
        <f>IF(OR(A37="",I37=""),"",IF(I37&gt;F37,IF(OR(K37="Oui",'00_Parametres'!$B$29="Oui"),I37,F37),I37))</f>
      </c>
      <c r="N37" s="52">
        <f t="shared" si="1"/>
        <v>0</v>
      </c>
      <c r="O37" s="52">
        <f t="shared" si="2"/>
        <v>0</v>
      </c>
      <c r="P37" s="53">
        <f t="shared" si="3"/>
        <v>0</v>
      </c>
      <c r="Q37" s="53">
        <f>IF(P37=0,0,MIN(P37,'00_Parametres'!$B$23))</f>
        <v>0</v>
      </c>
      <c r="R37" s="53">
        <f>IF(P37=0,0,MAX(0,P37-'00_Parametres'!$B$23))</f>
        <v>0</v>
      </c>
      <c r="S37" s="26"/>
      <c r="T37" s="26"/>
      <c r="U37" s="40"/>
    </row>
    <row r="38" ht="15" customHeight="1" spans="1:21" x14ac:dyDescent="0.25">
      <c r="A38" s="68">
        <v>46260</v>
      </c>
      <c r="B38" s="26" t="s">
        <v>171</v>
      </c>
      <c r="C38" s="41" t="str">
        <f>IF(B38="","",IFERROR(VLOOKUP(B38,Employes[[ID]:[Nom Complet]],4,FALSE()),""))</f>
        <v>Chekep Faustin</v>
      </c>
      <c r="D38" s="47" t="str">
        <f t="shared" ref="D38:D69" si="4">IF(A38="","",TEXT(A38,"dddd"))</f>
        <v>8/262026</v>
      </c>
      <c r="E38" s="48">
        <f>IF(A38="","",IFERROR(INDEX('00_Parametres'!$C$7:$C$13,WEEKDAY(A38,2)),""))</f>
      </c>
      <c r="F38" s="48">
        <f>IF(A38="","",IFERROR(INDEX('00_Parametres'!$D$7:$D$13,WEEKDAY(A38,2)),""))</f>
      </c>
      <c r="G38" s="49">
        <f>IF(A38="","",IFERROR(INDEX('00_Parametres'!$E$7:$E$13,WEEKDAY(A38,2)),0))</f>
        <v>0</v>
      </c>
      <c r="H38" s="50">
        <v>0.3125</v>
      </c>
      <c r="I38" s="50"/>
      <c r="J38" s="51" t="s">
        <v>70</v>
      </c>
      <c r="K38" s="51" t="s">
        <v>70</v>
      </c>
      <c r="L38" s="48">
        <f>IF(OR(A38="",H38=""),"",IF(H38&lt;E38,IF(OR(J38="Oui",'00_Parametres'!$B$28="Oui"),H38,E38),H38))</f>
      </c>
      <c r="M38" s="48">
        <f>IF(OR(A38="",I38=""),"",IF(I38&gt;F38,IF(OR(K38="Oui",'00_Parametres'!$B$29="Oui"),I38,F38),I38))</f>
      </c>
      <c r="N38" s="52">
        <f t="shared" ref="N38:N69" si="5">IF(OR(A38="",H38="",E38=""),0,MAX(0,ROUND((H38-E38)*1440,0)))</f>
        <v>0</v>
      </c>
      <c r="O38" s="52">
        <f t="shared" ref="O38:O69" si="6">IF(OR(A38="",I38="",F38=""),0,MAX(0,ROUND((F38-I38)*1440,0)))</f>
        <v>0</v>
      </c>
      <c r="P38" s="53">
        <f t="shared" ref="P38:P69" si="7">IF(OR(L38="",M38=""),0,MAX(0,ROUND((M38-L38)*24-G38,2)))</f>
        <v>0</v>
      </c>
      <c r="Q38" s="53">
        <f>IF(P38=0,0,MIN(P38,'00_Parametres'!$B$23))</f>
        <v>0</v>
      </c>
      <c r="R38" s="53">
        <f>IF(P38=0,0,MAX(0,P38-'00_Parametres'!$B$23))</f>
        <v>0</v>
      </c>
      <c r="S38" s="26"/>
      <c r="T38" s="26"/>
      <c r="U38" s="40"/>
    </row>
    <row r="39" ht="15" customHeight="1" spans="1:21" x14ac:dyDescent="0.25">
      <c r="A39" s="68">
        <v>46260</v>
      </c>
      <c r="B39" s="26" t="s">
        <v>175</v>
      </c>
      <c r="C39" s="41" t="str">
        <f>IF(B39="","",IFERROR(VLOOKUP(B39,Employes[[ID]:[Nom Complet]],4,FALSE()),""))</f>
        <v>Abdou</v>
      </c>
      <c r="D39" s="47" t="str">
        <f t="shared" si="4"/>
        <v>8/262026</v>
      </c>
      <c r="E39" s="48">
        <f>IF(A39="","",IFERROR(INDEX('00_Parametres'!$C$7:$C$13,WEEKDAY(A39,2)),""))</f>
      </c>
      <c r="F39" s="48">
        <f>IF(A39="","",IFERROR(INDEX('00_Parametres'!$D$7:$D$13,WEEKDAY(A39,2)),""))</f>
      </c>
      <c r="G39" s="49">
        <f>IF(A39="","",IFERROR(INDEX('00_Parametres'!$E$7:$E$13,WEEKDAY(A39,2)),0))</f>
        <v>0</v>
      </c>
      <c r="H39" s="50">
        <v>0.3333333333321207</v>
      </c>
      <c r="I39" s="50"/>
      <c r="J39" s="51" t="s">
        <v>70</v>
      </c>
      <c r="K39" s="51" t="s">
        <v>70</v>
      </c>
      <c r="L39" s="48">
        <f>IF(OR(A39="",H39=""),"",IF(H39&lt;E39,IF(OR(J39="Oui",'00_Parametres'!$B$28="Oui"),H39,E39),H39))</f>
      </c>
      <c r="M39" s="48">
        <f>IF(OR(A39="",I39=""),"",IF(I39&gt;F39,IF(OR(K39="Oui",'00_Parametres'!$B$29="Oui"),I39,F39),I39))</f>
      </c>
      <c r="N39" s="52">
        <f t="shared" si="5"/>
        <v>0</v>
      </c>
      <c r="O39" s="52">
        <f t="shared" si="6"/>
        <v>0</v>
      </c>
      <c r="P39" s="53">
        <f t="shared" si="7"/>
        <v>0</v>
      </c>
      <c r="Q39" s="53">
        <f>IF(P39=0,0,MIN(P39,'00_Parametres'!$B$23))</f>
        <v>0</v>
      </c>
      <c r="R39" s="53">
        <f>IF(P39=0,0,MAX(0,P39-'00_Parametres'!$B$23))</f>
        <v>0</v>
      </c>
      <c r="S39" s="26"/>
      <c r="T39" s="26"/>
      <c r="U39" s="40"/>
    </row>
    <row r="40" ht="15" customHeight="1" spans="1:21" x14ac:dyDescent="0.25">
      <c r="A40" s="68">
        <v>46260</v>
      </c>
      <c r="B40" s="26" t="s">
        <v>178</v>
      </c>
      <c r="C40" s="41" t="str">
        <f>IF(B40="","",IFERROR(VLOOKUP(B40,Employes[[ID]:[Nom Complet]],4,FALSE()),""))</f>
        <v>Nyontyen Si Jean Vinny</v>
      </c>
      <c r="D40" s="47" t="str">
        <f t="shared" si="4"/>
        <v>8/262026</v>
      </c>
      <c r="E40" s="48">
        <f>IF(A40="","",IFERROR(INDEX('00_Parametres'!$C$7:$C$13,WEEKDAY(A40,2)),""))</f>
      </c>
      <c r="F40" s="48">
        <f>IF(A40="","",IFERROR(INDEX('00_Parametres'!$D$7:$D$13,WEEKDAY(A40,2)),""))</f>
      </c>
      <c r="G40" s="49">
        <f>IF(A40="","",IFERROR(INDEX('00_Parametres'!$E$7:$E$13,WEEKDAY(A40,2)),0))</f>
        <v>0</v>
      </c>
      <c r="H40" s="50">
        <v>0.3555555555540195</v>
      </c>
      <c r="I40" s="50"/>
      <c r="J40" s="51" t="s">
        <v>70</v>
      </c>
      <c r="K40" s="51" t="s">
        <v>70</v>
      </c>
      <c r="L40" s="48">
        <f>IF(OR(A40="",H40=""),"",IF(H40&lt;E40,IF(OR(J40="Oui",'00_Parametres'!$B$28="Oui"),H40,E40),H40))</f>
      </c>
      <c r="M40" s="48">
        <f>IF(OR(A40="",I40=""),"",IF(I40&gt;F40,IF(OR(K40="Oui",'00_Parametres'!$B$29="Oui"),I40,F40),I40))</f>
      </c>
      <c r="N40" s="52">
        <f t="shared" si="5"/>
        <v>0</v>
      </c>
      <c r="O40" s="52">
        <f t="shared" si="6"/>
        <v>0</v>
      </c>
      <c r="P40" s="53">
        <f t="shared" si="7"/>
        <v>0</v>
      </c>
      <c r="Q40" s="53">
        <f>IF(P40=0,0,MIN(P40,'00_Parametres'!$B$23))</f>
        <v>0</v>
      </c>
      <c r="R40" s="53">
        <f>IF(P40=0,0,MAX(0,P40-'00_Parametres'!$B$23))</f>
        <v>0</v>
      </c>
      <c r="S40" s="26"/>
      <c r="T40" s="26"/>
      <c r="U40" s="40"/>
    </row>
    <row r="41" ht="15" customHeight="1" spans="1:21" x14ac:dyDescent="0.25">
      <c r="A41" s="68">
        <v>46260</v>
      </c>
      <c r="B41" s="26" t="s">
        <v>182</v>
      </c>
      <c r="C41" s="41" t="str">
        <f>IF(B41="","",IFERROR(VLOOKUP(B41,Employes[[ID]:[Nom Complet]],4,FALSE()),""))</f>
        <v>Holé Homsala</v>
      </c>
      <c r="D41" s="47" t="str">
        <f t="shared" si="4"/>
        <v>8/262026</v>
      </c>
      <c r="E41" s="48">
        <f>IF(A41="","",IFERROR(INDEX('00_Parametres'!$C$7:$C$13,WEEKDAY(A41,2)),""))</f>
      </c>
      <c r="F41" s="48">
        <f>IF(A41="","",IFERROR(INDEX('00_Parametres'!$D$7:$D$13,WEEKDAY(A41,2)),""))</f>
      </c>
      <c r="G41" s="49">
        <f>IF(A41="","",IFERROR(INDEX('00_Parametres'!$E$7:$E$13,WEEKDAY(A41,2)),0))</f>
        <v>0</v>
      </c>
      <c r="H41" s="50">
        <v>0.3631944444459805</v>
      </c>
      <c r="I41" s="50"/>
      <c r="J41" s="51" t="s">
        <v>70</v>
      </c>
      <c r="K41" s="51" t="s">
        <v>70</v>
      </c>
      <c r="L41" s="48">
        <f>IF(OR(A41="",H41=""),"",IF(H41&lt;E41,IF(OR(J41="Oui",'00_Parametres'!$B$28="Oui"),H41,E41),H41))</f>
      </c>
      <c r="M41" s="48">
        <f>IF(OR(A41="",I41=""),"",IF(I41&gt;F41,IF(OR(K41="Oui",'00_Parametres'!$B$29="Oui"),I41,F41),I41))</f>
      </c>
      <c r="N41" s="52">
        <f t="shared" si="5"/>
        <v>0</v>
      </c>
      <c r="O41" s="52">
        <f t="shared" si="6"/>
        <v>0</v>
      </c>
      <c r="P41" s="53">
        <f t="shared" si="7"/>
        <v>0</v>
      </c>
      <c r="Q41" s="53">
        <f>IF(P41=0,0,MIN(P41,'00_Parametres'!$B$23))</f>
        <v>0</v>
      </c>
      <c r="R41" s="53">
        <f>IF(P41=0,0,MAX(0,P41-'00_Parametres'!$B$23))</f>
        <v>0</v>
      </c>
      <c r="S41" s="26"/>
      <c r="T41" s="26"/>
      <c r="U41" s="40"/>
    </row>
    <row r="42" ht="15" customHeight="1" spans="1:21" x14ac:dyDescent="0.25">
      <c r="A42" s="68">
        <v>46260</v>
      </c>
      <c r="B42" s="26" t="s">
        <v>187</v>
      </c>
      <c r="C42" s="41" t="str">
        <f>IF(B42="","",IFERROR(VLOOKUP(B42,Employes[[ID]:[Nom Complet]],4,FALSE()),""))</f>
        <v>Ebene Ngono</v>
      </c>
      <c r="D42" s="47" t="str">
        <f t="shared" si="4"/>
        <v>8/262026</v>
      </c>
      <c r="E42" s="48">
        <f>IF(A42="","",IFERROR(INDEX('00_Parametres'!$C$7:$C$13,WEEKDAY(A42,2)),""))</f>
      </c>
      <c r="F42" s="48">
        <f>IF(A42="","",IFERROR(INDEX('00_Parametres'!$D$7:$D$13,WEEKDAY(A42,2)),""))</f>
      </c>
      <c r="G42" s="49">
        <f>IF(A42="","",IFERROR(INDEX('00_Parametres'!$E$7:$E$13,WEEKDAY(A42,2)),0))</f>
        <v>0</v>
      </c>
      <c r="H42" s="50">
        <v>0.3541666666678793</v>
      </c>
      <c r="I42" s="50"/>
      <c r="J42" s="51" t="s">
        <v>70</v>
      </c>
      <c r="K42" s="51" t="s">
        <v>70</v>
      </c>
      <c r="L42" s="48">
        <f>IF(OR(A42="",H42=""),"",IF(H42&lt;E42,IF(OR(J42="Oui",'00_Parametres'!$B$28="Oui"),H42,E42),H42))</f>
      </c>
      <c r="M42" s="48">
        <f>IF(OR(A42="",I42=""),"",IF(I42&gt;F42,IF(OR(K42="Oui",'00_Parametres'!$B$29="Oui"),I42,F42),I42))</f>
      </c>
      <c r="N42" s="52">
        <f t="shared" si="5"/>
        <v>0</v>
      </c>
      <c r="O42" s="52">
        <f t="shared" si="6"/>
        <v>0</v>
      </c>
      <c r="P42" s="53">
        <f t="shared" si="7"/>
        <v>0</v>
      </c>
      <c r="Q42" s="53">
        <f>IF(P42=0,0,MIN(P42,'00_Parametres'!$B$23))</f>
        <v>0</v>
      </c>
      <c r="R42" s="53">
        <f>IF(P42=0,0,MAX(0,P42-'00_Parametres'!$B$23))</f>
        <v>0</v>
      </c>
      <c r="S42" s="26"/>
      <c r="T42" s="26"/>
      <c r="U42" s="40"/>
    </row>
    <row r="43" ht="15" customHeight="1" spans="1:21" x14ac:dyDescent="0.25">
      <c r="A43" s="68">
        <v>46260</v>
      </c>
      <c r="B43" s="26" t="s">
        <v>191</v>
      </c>
      <c r="C43" s="41" t="str">
        <f>IF(B43="","",IFERROR(VLOOKUP(B43,Employes[[ID]:[Nom Complet]],4,FALSE()),""))</f>
        <v>Tineba Vital Eric</v>
      </c>
      <c r="D43" s="47" t="str">
        <f t="shared" si="4"/>
        <v>8/262026</v>
      </c>
      <c r="E43" s="48">
        <f>IF(A43="","",IFERROR(INDEX('00_Parametres'!$C$7:$C$13,WEEKDAY(A43,2)),""))</f>
      </c>
      <c r="F43" s="48">
        <f>IF(A43="","",IFERROR(INDEX('00_Parametres'!$D$7:$D$13,WEEKDAY(A43,2)),""))</f>
      </c>
      <c r="G43" s="49">
        <f>IF(A43="","",IFERROR(INDEX('00_Parametres'!$E$7:$E$13,WEEKDAY(A43,2)),0))</f>
        <v>0</v>
      </c>
      <c r="H43" s="50">
        <v>0.3555555555540195</v>
      </c>
      <c r="I43" s="50"/>
      <c r="J43" s="51" t="s">
        <v>70</v>
      </c>
      <c r="K43" s="51" t="s">
        <v>70</v>
      </c>
      <c r="L43" s="48">
        <f>IF(OR(A43="",H43=""),"",IF(H43&lt;E43,IF(OR(J43="Oui",'00_Parametres'!$B$28="Oui"),H43,E43),H43))</f>
      </c>
      <c r="M43" s="48">
        <f>IF(OR(A43="",I43=""),"",IF(I43&gt;F43,IF(OR(K43="Oui",'00_Parametres'!$B$29="Oui"),I43,F43),I43))</f>
      </c>
      <c r="N43" s="52">
        <f t="shared" si="5"/>
        <v>0</v>
      </c>
      <c r="O43" s="52">
        <f t="shared" si="6"/>
        <v>0</v>
      </c>
      <c r="P43" s="53">
        <f t="shared" si="7"/>
        <v>0</v>
      </c>
      <c r="Q43" s="53">
        <f>IF(P43=0,0,MIN(P43,'00_Parametres'!$B$23))</f>
        <v>0</v>
      </c>
      <c r="R43" s="53">
        <f>IF(P43=0,0,MAX(0,P43-'00_Parametres'!$B$23))</f>
        <v>0</v>
      </c>
      <c r="S43" s="26"/>
      <c r="T43" s="26"/>
      <c r="U43" s="40"/>
    </row>
    <row r="44" ht="15" customHeight="1" spans="1:21" x14ac:dyDescent="0.25">
      <c r="A44" s="68">
        <v>46260</v>
      </c>
      <c r="B44" s="26" t="s">
        <v>195</v>
      </c>
      <c r="C44" s="41" t="str">
        <f>IF(B44="","",IFERROR(VLOOKUP(B44,Employes[[ID]:[Nom Complet]],4,FALSE()),""))</f>
        <v>Deutchoua Tientcheu Christian</v>
      </c>
      <c r="D44" s="47" t="str">
        <f t="shared" si="4"/>
        <v>8/262026</v>
      </c>
      <c r="E44" s="48">
        <f>IF(A44="","",IFERROR(INDEX('00_Parametres'!$C$7:$C$13,WEEKDAY(A44,2)),""))</f>
      </c>
      <c r="F44" s="48">
        <f>IF(A44="","",IFERROR(INDEX('00_Parametres'!$D$7:$D$13,WEEKDAY(A44,2)),""))</f>
      </c>
      <c r="G44" s="49">
        <f>IF(A44="","",IFERROR(INDEX('00_Parametres'!$E$7:$E$13,WEEKDAY(A44,2)),0))</f>
        <v>0</v>
      </c>
      <c r="H44" s="50"/>
      <c r="I44" s="50"/>
      <c r="J44" s="51" t="s">
        <v>70</v>
      </c>
      <c r="K44" s="51" t="s">
        <v>70</v>
      </c>
      <c r="L44" s="48">
        <f>IF(OR(A44="",H44=""),"",IF(H44&lt;E44,IF(OR(J44="Oui",'00_Parametres'!$B$28="Oui"),H44,E44),H44))</f>
      </c>
      <c r="M44" s="48">
        <f>IF(OR(A44="",I44=""),"",IF(I44&gt;F44,IF(OR(K44="Oui",'00_Parametres'!$B$29="Oui"),I44,F44),I44))</f>
      </c>
      <c r="N44" s="52">
        <f t="shared" si="5"/>
        <v>0</v>
      </c>
      <c r="O44" s="52">
        <f t="shared" si="6"/>
        <v>0</v>
      </c>
      <c r="P44" s="53">
        <f t="shared" si="7"/>
        <v>0</v>
      </c>
      <c r="Q44" s="53">
        <f>IF(P44=0,0,MIN(P44,'00_Parametres'!$B$23))</f>
        <v>0</v>
      </c>
      <c r="R44" s="53">
        <f>IF(P44=0,0,MAX(0,P44-'00_Parametres'!$B$23))</f>
        <v>0</v>
      </c>
      <c r="S44" s="26"/>
      <c r="T44" s="26"/>
      <c r="U44" s="40"/>
    </row>
    <row r="45" ht="15" customHeight="1" spans="1:21" x14ac:dyDescent="0.25">
      <c r="A45" s="68">
        <v>46260</v>
      </c>
      <c r="B45" s="26" t="s">
        <v>199</v>
      </c>
      <c r="C45" s="41" t="str">
        <f>IF(B45="","",IFERROR(VLOOKUP(B45,Employes[[ID]:[Nom Complet]],4,FALSE()),""))</f>
        <v>Fouakouet Youssoufa</v>
      </c>
      <c r="D45" s="47" t="str">
        <f t="shared" si="4"/>
        <v>8/262026</v>
      </c>
      <c r="E45" s="48">
        <f>IF(A45="","",IFERROR(INDEX('00_Parametres'!$C$7:$C$13,WEEKDAY(A45,2)),""))</f>
      </c>
      <c r="F45" s="48">
        <f>IF(A45="","",IFERROR(INDEX('00_Parametres'!$D$7:$D$13,WEEKDAY(A45,2)),""))</f>
      </c>
      <c r="G45" s="49">
        <f>IF(A45="","",IFERROR(INDEX('00_Parametres'!$E$7:$E$13,WEEKDAY(A45,2)),0))</f>
        <v>0</v>
      </c>
      <c r="H45" s="50">
        <v>0.3541666666678793</v>
      </c>
      <c r="I45" s="50"/>
      <c r="J45" s="51" t="s">
        <v>70</v>
      </c>
      <c r="K45" s="51" t="s">
        <v>70</v>
      </c>
      <c r="L45" s="48">
        <f>IF(OR(A45="",H45=""),"",IF(H45&lt;E45,IF(OR(J45="Oui",'00_Parametres'!$B$28="Oui"),H45,E45),H45))</f>
      </c>
      <c r="M45" s="48">
        <f>IF(OR(A45="",I45=""),"",IF(I45&gt;F45,IF(OR(K45="Oui",'00_Parametres'!$B$29="Oui"),I45,F45),I45))</f>
      </c>
      <c r="N45" s="52">
        <f t="shared" si="5"/>
        <v>0</v>
      </c>
      <c r="O45" s="52">
        <f t="shared" si="6"/>
        <v>0</v>
      </c>
      <c r="P45" s="53">
        <f t="shared" si="7"/>
        <v>0</v>
      </c>
      <c r="Q45" s="53">
        <f>IF(P45=0,0,MIN(P45,'00_Parametres'!$B$23))</f>
        <v>0</v>
      </c>
      <c r="R45" s="53">
        <f>IF(P45=0,0,MAX(0,P45-'00_Parametres'!$B$23))</f>
        <v>0</v>
      </c>
      <c r="S45" s="26"/>
      <c r="T45" s="26"/>
      <c r="U45" s="40"/>
    </row>
    <row r="46" ht="15" customHeight="1" spans="1:21" x14ac:dyDescent="0.25">
      <c r="A46" s="68">
        <v>46260</v>
      </c>
      <c r="B46" s="26" t="s">
        <v>203</v>
      </c>
      <c r="C46" s="41" t="str">
        <f>IF(B46="","",IFERROR(VLOOKUP(B46,Employes[[ID]:[Nom Complet]],4,FALSE()),""))</f>
        <v>Ngouamera Adrien Gildas</v>
      </c>
      <c r="D46" s="47" t="str">
        <f t="shared" si="4"/>
        <v>8/262026</v>
      </c>
      <c r="E46" s="48">
        <f>IF(A46="","",IFERROR(INDEX('00_Parametres'!$C$7:$C$13,WEEKDAY(A46,2)),""))</f>
      </c>
      <c r="F46" s="48">
        <f>IF(A46="","",IFERROR(INDEX('00_Parametres'!$D$7:$D$13,WEEKDAY(A46,2)),""))</f>
      </c>
      <c r="G46" s="49">
        <f>IF(A46="","",IFERROR(INDEX('00_Parametres'!$E$7:$E$13,WEEKDAY(A46,2)),0))</f>
        <v>0</v>
      </c>
      <c r="H46" s="50">
        <v>0.35763888889050577</v>
      </c>
      <c r="I46" s="50"/>
      <c r="J46" s="51" t="s">
        <v>70</v>
      </c>
      <c r="K46" s="51" t="s">
        <v>70</v>
      </c>
      <c r="L46" s="48">
        <f>IF(OR(A46="",H46=""),"",IF(H46&lt;E46,IF(OR(J46="Oui",'00_Parametres'!$B$28="Oui"),H46,E46),H46))</f>
      </c>
      <c r="M46" s="48">
        <f>IF(OR(A46="",I46=""),"",IF(I46&gt;F46,IF(OR(K46="Oui",'00_Parametres'!$B$29="Oui"),I46,F46),I46))</f>
      </c>
      <c r="N46" s="52">
        <f t="shared" si="5"/>
        <v>0</v>
      </c>
      <c r="O46" s="52">
        <f t="shared" si="6"/>
        <v>0</v>
      </c>
      <c r="P46" s="53">
        <f t="shared" si="7"/>
        <v>0</v>
      </c>
      <c r="Q46" s="53">
        <f>IF(P46=0,0,MIN(P46,'00_Parametres'!$B$23))</f>
        <v>0</v>
      </c>
      <c r="R46" s="53">
        <f>IF(P46=0,0,MAX(0,P46-'00_Parametres'!$B$23))</f>
        <v>0</v>
      </c>
      <c r="S46" s="26"/>
      <c r="T46" s="26"/>
      <c r="U46" s="40"/>
    </row>
    <row r="47" ht="15" customHeight="1" spans="1:21" x14ac:dyDescent="0.25">
      <c r="A47" s="68">
        <v>46260</v>
      </c>
      <c r="B47" s="26" t="s">
        <v>207</v>
      </c>
      <c r="C47" s="41" t="str">
        <f>IF(B47="","",IFERROR(VLOOKUP(B47,Employes[[ID]:[Nom Complet]],4,FALSE()),""))</f>
        <v>Nague Zemdjui Arnaud</v>
      </c>
      <c r="D47" s="47" t="str">
        <f t="shared" si="4"/>
        <v>8/262026</v>
      </c>
      <c r="E47" s="48">
        <f>IF(A47="","",IFERROR(INDEX('00_Parametres'!$C$7:$C$13,WEEKDAY(A47,2)),""))</f>
      </c>
      <c r="F47" s="48">
        <f>IF(A47="","",IFERROR(INDEX('00_Parametres'!$D$7:$D$13,WEEKDAY(A47,2)),""))</f>
      </c>
      <c r="G47" s="49">
        <f>IF(A47="","",IFERROR(INDEX('00_Parametres'!$E$7:$E$13,WEEKDAY(A47,2)),0))</f>
        <v>0</v>
      </c>
      <c r="H47" s="50">
        <v>0.3076388888875954</v>
      </c>
      <c r="I47" s="50"/>
      <c r="J47" s="51" t="s">
        <v>70</v>
      </c>
      <c r="K47" s="51" t="s">
        <v>70</v>
      </c>
      <c r="L47" s="48">
        <f>IF(OR(A47="",H47=""),"",IF(H47&lt;E47,IF(OR(J47="Oui",'00_Parametres'!$B$28="Oui"),H47,E47),H47))</f>
      </c>
      <c r="M47" s="48">
        <f>IF(OR(A47="",I47=""),"",IF(I47&gt;F47,IF(OR(K47="Oui",'00_Parametres'!$B$29="Oui"),I47,F47),I47))</f>
      </c>
      <c r="N47" s="52">
        <f t="shared" si="5"/>
        <v>0</v>
      </c>
      <c r="O47" s="52">
        <f t="shared" si="6"/>
        <v>0</v>
      </c>
      <c r="P47" s="53">
        <f t="shared" si="7"/>
        <v>0</v>
      </c>
      <c r="Q47" s="53">
        <f>IF(P47=0,0,MIN(P47,'00_Parametres'!$B$23))</f>
        <v>0</v>
      </c>
      <c r="R47" s="53">
        <f>IF(P47=0,0,MAX(0,P47-'00_Parametres'!$B$23))</f>
        <v>0</v>
      </c>
      <c r="S47" s="26"/>
      <c r="T47" s="26"/>
      <c r="U47" s="40"/>
    </row>
    <row r="48" ht="15" customHeight="1" spans="1:21" x14ac:dyDescent="0.25">
      <c r="A48" s="68">
        <v>46260</v>
      </c>
      <c r="B48" s="26" t="s">
        <v>212</v>
      </c>
      <c r="C48" s="41" t="str">
        <f>IF(B48="","",IFERROR(VLOOKUP(B48,Employes[[ID]:[Nom Complet]],4,FALSE()),""))</f>
        <v>Zo'o Mbarga Jean Loic</v>
      </c>
      <c r="D48" s="47" t="str">
        <f t="shared" si="4"/>
        <v>8/262026</v>
      </c>
      <c r="E48" s="48">
        <f>IF(A48="","",IFERROR(INDEX('00_Parametres'!$C$7:$C$13,WEEKDAY(A48,2)),""))</f>
      </c>
      <c r="F48" s="48">
        <f>IF(A48="","",IFERROR(INDEX('00_Parametres'!$D$7:$D$13,WEEKDAY(A48,2)),""))</f>
      </c>
      <c r="G48" s="49">
        <f>IF(A48="","",IFERROR(INDEX('00_Parametres'!$E$7:$E$13,WEEKDAY(A48,2)),0))</f>
        <v>0</v>
      </c>
      <c r="H48" s="50">
        <v>0.2631944444437977</v>
      </c>
      <c r="I48" s="50"/>
      <c r="J48" s="51" t="s">
        <v>70</v>
      </c>
      <c r="K48" s="51" t="s">
        <v>70</v>
      </c>
      <c r="L48" s="48">
        <f>IF(OR(A48="",H48=""),"",IF(H48&lt;E48,IF(OR(J48="Oui",'00_Parametres'!$B$28="Oui"),H48,E48),H48))</f>
      </c>
      <c r="M48" s="48">
        <f>IF(OR(A48="",I48=""),"",IF(I48&gt;F48,IF(OR(K48="Oui",'00_Parametres'!$B$29="Oui"),I48,F48),I48))</f>
      </c>
      <c r="N48" s="52">
        <f t="shared" si="5"/>
        <v>0</v>
      </c>
      <c r="O48" s="52">
        <f t="shared" si="6"/>
        <v>0</v>
      </c>
      <c r="P48" s="53">
        <f t="shared" si="7"/>
        <v>0</v>
      </c>
      <c r="Q48" s="53">
        <f>IF(P48=0,0,MIN(P48,'00_Parametres'!$B$23))</f>
        <v>0</v>
      </c>
      <c r="R48" s="53">
        <f>IF(P48=0,0,MAX(0,P48-'00_Parametres'!$B$23))</f>
        <v>0</v>
      </c>
      <c r="S48" s="26"/>
      <c r="T48" s="26"/>
      <c r="U48" s="40"/>
    </row>
    <row r="49" ht="15" customHeight="1" spans="1:21" s="67" customFormat="1" x14ac:dyDescent="0.25">
      <c r="A49" s="55">
        <v>46260</v>
      </c>
      <c r="B49" s="56"/>
      <c r="C49" s="57">
        <f>IF(B49="","",IFERROR(VLOOKUP(B49,Employes[[ID]:[Nom Complet]],4,FALSE()),""))</f>
      </c>
      <c r="D49" s="58" t="str">
        <f t="shared" si="4"/>
        <v>8/262026</v>
      </c>
      <c r="E49" s="59">
        <f>IF(A49="","",IFERROR(INDEX('00_Parametres'!$C$7:$C$13,WEEKDAY(A49,2)),""))</f>
      </c>
      <c r="F49" s="59">
        <f>IF(A49="","",IFERROR(INDEX('00_Parametres'!$D$7:$D$13,WEEKDAY(A49,2)),""))</f>
      </c>
      <c r="G49" s="60">
        <f>IF(A49="","",IFERROR(INDEX('00_Parametres'!$E$7:$E$13,WEEKDAY(A49,2)),0))</f>
        <v>0</v>
      </c>
      <c r="H49" s="61"/>
      <c r="I49" s="61"/>
      <c r="J49" s="62" t="s">
        <v>70</v>
      </c>
      <c r="K49" s="62" t="s">
        <v>70</v>
      </c>
      <c r="L49" s="59">
        <f>IF(OR(A49="",H49=""),"",IF(H49&lt;E49,IF(OR(J49="Oui",'00_Parametres'!$B$28="Oui"),H49,E49),H49))</f>
      </c>
      <c r="M49" s="59">
        <f>IF(OR(A49="",I49=""),"",IF(I49&gt;F49,IF(OR(K49="Oui",'00_Parametres'!$B$29="Oui"),I49,F49),I49))</f>
      </c>
      <c r="N49" s="63">
        <f t="shared" si="5"/>
        <v>0</v>
      </c>
      <c r="O49" s="63">
        <f t="shared" si="6"/>
        <v>0</v>
      </c>
      <c r="P49" s="64">
        <f t="shared" si="7"/>
        <v>0</v>
      </c>
      <c r="Q49" s="64">
        <f>IF(P49=0,0,MIN(P49,'00_Parametres'!$B$23))</f>
        <v>0</v>
      </c>
      <c r="R49" s="64">
        <f>IF(P49=0,0,MAX(0,P49-'00_Parametres'!$B$23))</f>
        <v>0</v>
      </c>
      <c r="S49" s="56"/>
      <c r="T49" s="65"/>
      <c r="U49" s="66"/>
    </row>
    <row r="50" ht="15" customHeight="1" spans="1:21" x14ac:dyDescent="0.25">
      <c r="A50" s="46"/>
      <c r="B50" s="26"/>
      <c r="C50" s="41">
        <f>IF(B50="","",IFERROR(VLOOKUP(B50,Employes[[ID]:[Nom Complet]],4,FALSE()),""))</f>
      </c>
      <c r="D50" s="47">
        <f t="shared" si="4"/>
      </c>
      <c r="E50" s="48">
        <f>IF(A50="","",IFERROR(INDEX('00_Parametres'!$C$7:$C$13,WEEKDAY(A50,2)),""))</f>
      </c>
      <c r="F50" s="48">
        <f>IF(A50="","",IFERROR(INDEX('00_Parametres'!$D$7:$D$13,WEEKDAY(A50,2)),""))</f>
      </c>
      <c r="G50" s="49">
        <f>IF(A50="","",IFERROR(INDEX('00_Parametres'!$E$7:$E$13,WEEKDAY(A50,2)),0))</f>
      </c>
      <c r="H50" s="50"/>
      <c r="I50" s="50"/>
      <c r="J50" s="51" t="s">
        <v>70</v>
      </c>
      <c r="K50" s="51" t="s">
        <v>70</v>
      </c>
      <c r="L50" s="48">
        <f>IF(OR(A50="",H50=""),"",IF(H50&lt;E50,IF(OR(J50="Oui",'00_Parametres'!$B$28="Oui"),H50,E50),H50))</f>
      </c>
      <c r="M50" s="48">
        <f>IF(OR(A50="",I50=""),"",IF(I50&gt;F50,IF(OR(K50="Oui",'00_Parametres'!$B$29="Oui"),I50,F50),I50))</f>
      </c>
      <c r="N50" s="52">
        <f t="shared" si="5"/>
        <v>0</v>
      </c>
      <c r="O50" s="52">
        <f t="shared" si="6"/>
        <v>0</v>
      </c>
      <c r="P50" s="53">
        <f t="shared" si="7"/>
        <v>0</v>
      </c>
      <c r="Q50" s="53">
        <f>IF(P50=0,0,MIN(P50,'00_Parametres'!$B$23))</f>
        <v>0</v>
      </c>
      <c r="R50" s="53">
        <f>IF(P50=0,0,MAX(0,P50-'00_Parametres'!$B$23))</f>
        <v>0</v>
      </c>
      <c r="S50" s="26"/>
      <c r="T50" s="26"/>
      <c r="U50" s="40"/>
    </row>
    <row r="51" ht="15" customHeight="1" spans="1:21" x14ac:dyDescent="0.25">
      <c r="A51" s="46"/>
      <c r="B51" s="26"/>
      <c r="C51" s="41">
        <f>IF(B51="","",IFERROR(VLOOKUP(B51,Employes[[ID]:[Nom Complet]],4,FALSE()),""))</f>
      </c>
      <c r="D51" s="47">
        <f t="shared" si="4"/>
      </c>
      <c r="E51" s="48">
        <f>IF(A51="","",IFERROR(INDEX('00_Parametres'!$C$7:$C$13,WEEKDAY(A51,2)),""))</f>
      </c>
      <c r="F51" s="48">
        <f>IF(A51="","",IFERROR(INDEX('00_Parametres'!$D$7:$D$13,WEEKDAY(A51,2)),""))</f>
      </c>
      <c r="G51" s="49">
        <f>IF(A51="","",IFERROR(INDEX('00_Parametres'!$E$7:$E$13,WEEKDAY(A51,2)),0))</f>
      </c>
      <c r="H51" s="50"/>
      <c r="I51" s="50"/>
      <c r="J51" s="51" t="s">
        <v>70</v>
      </c>
      <c r="K51" s="51" t="s">
        <v>70</v>
      </c>
      <c r="L51" s="48">
        <f>IF(OR(A51="",H51=""),"",IF(H51&lt;E51,IF(OR(J51="Oui",'00_Parametres'!$B$28="Oui"),H51,E51),H51))</f>
      </c>
      <c r="M51" s="48">
        <f>IF(OR(A51="",I51=""),"",IF(I51&gt;F51,IF(OR(K51="Oui",'00_Parametres'!$B$29="Oui"),I51,F51),I51))</f>
      </c>
      <c r="N51" s="52">
        <f t="shared" si="5"/>
        <v>0</v>
      </c>
      <c r="O51" s="52">
        <f t="shared" si="6"/>
        <v>0</v>
      </c>
      <c r="P51" s="53">
        <f t="shared" si="7"/>
        <v>0</v>
      </c>
      <c r="Q51" s="53">
        <f>IF(P51=0,0,MIN(P51,'00_Parametres'!$B$23))</f>
        <v>0</v>
      </c>
      <c r="R51" s="53">
        <f>IF(P51=0,0,MAX(0,P51-'00_Parametres'!$B$23))</f>
        <v>0</v>
      </c>
      <c r="S51" s="26"/>
      <c r="T51" s="26"/>
      <c r="U51" s="40"/>
    </row>
    <row r="52" ht="15" customHeight="1" spans="1:21" x14ac:dyDescent="0.25">
      <c r="A52" s="46"/>
      <c r="B52" s="26"/>
      <c r="C52" s="41">
        <f>IF(B52="","",IFERROR(VLOOKUP(B52,Employes[[ID]:[Nom Complet]],4,FALSE()),""))</f>
      </c>
      <c r="D52" s="47">
        <f t="shared" si="4"/>
      </c>
      <c r="E52" s="48">
        <f>IF(A52="","",IFERROR(INDEX('00_Parametres'!$C$7:$C$13,WEEKDAY(A52,2)),""))</f>
      </c>
      <c r="F52" s="48">
        <f>IF(A52="","",IFERROR(INDEX('00_Parametres'!$D$7:$D$13,WEEKDAY(A52,2)),""))</f>
      </c>
      <c r="G52" s="49">
        <f>IF(A52="","",IFERROR(INDEX('00_Parametres'!$E$7:$E$13,WEEKDAY(A52,2)),0))</f>
      </c>
      <c r="H52" s="50"/>
      <c r="I52" s="50"/>
      <c r="J52" s="51" t="s">
        <v>70</v>
      </c>
      <c r="K52" s="51" t="s">
        <v>70</v>
      </c>
      <c r="L52" s="48">
        <f>IF(OR(A52="",H52=""),"",IF(H52&lt;E52,IF(OR(J52="Oui",'00_Parametres'!$B$28="Oui"),H52,E52),H52))</f>
      </c>
      <c r="M52" s="48">
        <f>IF(OR(A52="",I52=""),"",IF(I52&gt;F52,IF(OR(K52="Oui",'00_Parametres'!$B$29="Oui"),I52,F52),I52))</f>
      </c>
      <c r="N52" s="52">
        <f t="shared" si="5"/>
        <v>0</v>
      </c>
      <c r="O52" s="52">
        <f t="shared" si="6"/>
        <v>0</v>
      </c>
      <c r="P52" s="53">
        <f t="shared" si="7"/>
        <v>0</v>
      </c>
      <c r="Q52" s="53">
        <f>IF(P52=0,0,MIN(P52,'00_Parametres'!$B$23))</f>
        <v>0</v>
      </c>
      <c r="R52" s="53">
        <f>IF(P52=0,0,MAX(0,P52-'00_Parametres'!$B$23))</f>
        <v>0</v>
      </c>
      <c r="S52" s="26"/>
      <c r="T52" s="26"/>
      <c r="U52" s="40"/>
    </row>
    <row r="53" ht="15" customHeight="1" spans="1:21" x14ac:dyDescent="0.25">
      <c r="A53" s="46"/>
      <c r="B53" s="26"/>
      <c r="C53" s="41">
        <f>IF(B53="","",IFERROR(VLOOKUP(B53,Employes[[ID]:[Nom Complet]],4,FALSE()),""))</f>
      </c>
      <c r="D53" s="47">
        <f t="shared" si="4"/>
      </c>
      <c r="E53" s="48">
        <f>IF(A53="","",IFERROR(INDEX('00_Parametres'!$C$7:$C$13,WEEKDAY(A53,2)),""))</f>
      </c>
      <c r="F53" s="48">
        <f>IF(A53="","",IFERROR(INDEX('00_Parametres'!$D$7:$D$13,WEEKDAY(A53,2)),""))</f>
      </c>
      <c r="G53" s="49">
        <f>IF(A53="","",IFERROR(INDEX('00_Parametres'!$E$7:$E$13,WEEKDAY(A53,2)),0))</f>
      </c>
      <c r="H53" s="50"/>
      <c r="I53" s="50"/>
      <c r="J53" s="51" t="s">
        <v>70</v>
      </c>
      <c r="K53" s="51" t="s">
        <v>70</v>
      </c>
      <c r="L53" s="48">
        <f>IF(OR(A53="",H53=""),"",IF(H53&lt;E53,IF(OR(J53="Oui",'00_Parametres'!$B$28="Oui"),H53,E53),H53))</f>
      </c>
      <c r="M53" s="48">
        <f>IF(OR(A53="",I53=""),"",IF(I53&gt;F53,IF(OR(K53="Oui",'00_Parametres'!$B$29="Oui"),I53,F53),I53))</f>
      </c>
      <c r="N53" s="52">
        <f t="shared" si="5"/>
        <v>0</v>
      </c>
      <c r="O53" s="52">
        <f t="shared" si="6"/>
        <v>0</v>
      </c>
      <c r="P53" s="53">
        <f t="shared" si="7"/>
        <v>0</v>
      </c>
      <c r="Q53" s="53">
        <f>IF(P53=0,0,MIN(P53,'00_Parametres'!$B$23))</f>
        <v>0</v>
      </c>
      <c r="R53" s="53">
        <f>IF(P53=0,0,MAX(0,P53-'00_Parametres'!$B$23))</f>
        <v>0</v>
      </c>
      <c r="S53" s="26"/>
      <c r="T53" s="26"/>
      <c r="U53" s="40"/>
    </row>
    <row r="54" ht="15" customHeight="1" spans="1:21" x14ac:dyDescent="0.25">
      <c r="A54" s="46"/>
      <c r="B54" s="26"/>
      <c r="C54" s="41">
        <f>IF(B54="","",IFERROR(VLOOKUP(B54,Employes[[ID]:[Nom Complet]],4,FALSE()),""))</f>
      </c>
      <c r="D54" s="47">
        <f t="shared" si="4"/>
      </c>
      <c r="E54" s="48">
        <f>IF(A54="","",IFERROR(INDEX('00_Parametres'!$C$7:$C$13,WEEKDAY(A54,2)),""))</f>
      </c>
      <c r="F54" s="48">
        <f>IF(A54="","",IFERROR(INDEX('00_Parametres'!$D$7:$D$13,WEEKDAY(A54,2)),""))</f>
      </c>
      <c r="G54" s="49">
        <f>IF(A54="","",IFERROR(INDEX('00_Parametres'!$E$7:$E$13,WEEKDAY(A54,2)),0))</f>
      </c>
      <c r="H54" s="50"/>
      <c r="I54" s="50"/>
      <c r="J54" s="51" t="s">
        <v>70</v>
      </c>
      <c r="K54" s="51" t="s">
        <v>70</v>
      </c>
      <c r="L54" s="48">
        <f>IF(OR(A54="",H54=""),"",IF(H54&lt;E54,IF(OR(J54="Oui",'00_Parametres'!$B$28="Oui"),H54,E54),H54))</f>
      </c>
      <c r="M54" s="48">
        <f>IF(OR(A54="",I54=""),"",IF(I54&gt;F54,IF(OR(K54="Oui",'00_Parametres'!$B$29="Oui"),I54,F54),I54))</f>
      </c>
      <c r="N54" s="52">
        <f t="shared" si="5"/>
        <v>0</v>
      </c>
      <c r="O54" s="52">
        <f t="shared" si="6"/>
        <v>0</v>
      </c>
      <c r="P54" s="53">
        <f t="shared" si="7"/>
        <v>0</v>
      </c>
      <c r="Q54" s="53">
        <f>IF(P54=0,0,MIN(P54,'00_Parametres'!$B$23))</f>
        <v>0</v>
      </c>
      <c r="R54" s="53">
        <f>IF(P54=0,0,MAX(0,P54-'00_Parametres'!$B$23))</f>
        <v>0</v>
      </c>
      <c r="S54" s="26"/>
      <c r="T54" s="26"/>
      <c r="U54" s="40"/>
    </row>
    <row r="55" ht="15" customHeight="1" spans="1:21" x14ac:dyDescent="0.25">
      <c r="A55" s="46"/>
      <c r="B55" s="26"/>
      <c r="C55" s="41">
        <f>IF(B55="","",IFERROR(VLOOKUP(B55,Employes[[ID]:[Nom Complet]],4,FALSE()),""))</f>
      </c>
      <c r="D55" s="47">
        <f t="shared" si="4"/>
      </c>
      <c r="E55" s="48">
        <f>IF(A55="","",IFERROR(INDEX('00_Parametres'!$C$7:$C$13,WEEKDAY(A55,2)),""))</f>
      </c>
      <c r="F55" s="48">
        <f>IF(A55="","",IFERROR(INDEX('00_Parametres'!$D$7:$D$13,WEEKDAY(A55,2)),""))</f>
      </c>
      <c r="G55" s="49">
        <f>IF(A55="","",IFERROR(INDEX('00_Parametres'!$E$7:$E$13,WEEKDAY(A55,2)),0))</f>
      </c>
      <c r="H55" s="50"/>
      <c r="I55" s="50"/>
      <c r="J55" s="51" t="s">
        <v>70</v>
      </c>
      <c r="K55" s="51" t="s">
        <v>70</v>
      </c>
      <c r="L55" s="48">
        <f>IF(OR(A55="",H55=""),"",IF(H55&lt;E55,IF(OR(J55="Oui",'00_Parametres'!$B$28="Oui"),H55,E55),H55))</f>
      </c>
      <c r="M55" s="48">
        <f>IF(OR(A55="",I55=""),"",IF(I55&gt;F55,IF(OR(K55="Oui",'00_Parametres'!$B$29="Oui"),I55,F55),I55))</f>
      </c>
      <c r="N55" s="52">
        <f t="shared" si="5"/>
        <v>0</v>
      </c>
      <c r="O55" s="52">
        <f t="shared" si="6"/>
        <v>0</v>
      </c>
      <c r="P55" s="53">
        <f t="shared" si="7"/>
        <v>0</v>
      </c>
      <c r="Q55" s="53">
        <f>IF(P55=0,0,MIN(P55,'00_Parametres'!$B$23))</f>
        <v>0</v>
      </c>
      <c r="R55" s="53">
        <f>IF(P55=0,0,MAX(0,P55-'00_Parametres'!$B$23))</f>
        <v>0</v>
      </c>
      <c r="S55" s="26"/>
      <c r="T55" s="26"/>
      <c r="U55" s="40"/>
    </row>
    <row r="56" ht="15" customHeight="1" spans="1:21" x14ac:dyDescent="0.25">
      <c r="A56" s="46"/>
      <c r="B56" s="26"/>
      <c r="C56" s="41">
        <f>IF(B56="","",IFERROR(VLOOKUP(B56,Employes[[ID]:[Nom Complet]],4,FALSE()),""))</f>
      </c>
      <c r="D56" s="47">
        <f t="shared" si="4"/>
      </c>
      <c r="E56" s="48">
        <f>IF(A56="","",IFERROR(INDEX('00_Parametres'!$C$7:$C$13,WEEKDAY(A56,2)),""))</f>
      </c>
      <c r="F56" s="48">
        <f>IF(A56="","",IFERROR(INDEX('00_Parametres'!$D$7:$D$13,WEEKDAY(A56,2)),""))</f>
      </c>
      <c r="G56" s="49">
        <f>IF(A56="","",IFERROR(INDEX('00_Parametres'!$E$7:$E$13,WEEKDAY(A56,2)),0))</f>
      </c>
      <c r="H56" s="50"/>
      <c r="I56" s="50"/>
      <c r="J56" s="51" t="s">
        <v>70</v>
      </c>
      <c r="K56" s="51" t="s">
        <v>70</v>
      </c>
      <c r="L56" s="48">
        <f>IF(OR(A56="",H56=""),"",IF(H56&lt;E56,IF(OR(J56="Oui",'00_Parametres'!$B$28="Oui"),H56,E56),H56))</f>
      </c>
      <c r="M56" s="48">
        <f>IF(OR(A56="",I56=""),"",IF(I56&gt;F56,IF(OR(K56="Oui",'00_Parametres'!$B$29="Oui"),I56,F56),I56))</f>
      </c>
      <c r="N56" s="52">
        <f t="shared" si="5"/>
        <v>0</v>
      </c>
      <c r="O56" s="52">
        <f t="shared" si="6"/>
        <v>0</v>
      </c>
      <c r="P56" s="53">
        <f t="shared" si="7"/>
        <v>0</v>
      </c>
      <c r="Q56" s="53">
        <f>IF(P56=0,0,MIN(P56,'00_Parametres'!$B$23))</f>
        <v>0</v>
      </c>
      <c r="R56" s="53">
        <f>IF(P56=0,0,MAX(0,P56-'00_Parametres'!$B$23))</f>
        <v>0</v>
      </c>
      <c r="S56" s="26"/>
      <c r="T56" s="26"/>
      <c r="U56" s="40"/>
    </row>
    <row r="57" ht="15" customHeight="1" spans="1:21" x14ac:dyDescent="0.25">
      <c r="A57" s="46"/>
      <c r="B57" s="26"/>
      <c r="C57" s="41">
        <f>IF(B57="","",IFERROR(VLOOKUP(B57,Employes[[ID]:[Nom Complet]],4,FALSE()),""))</f>
      </c>
      <c r="D57" s="47">
        <f t="shared" si="4"/>
      </c>
      <c r="E57" s="48">
        <f>IF(A57="","",IFERROR(INDEX('00_Parametres'!$C$7:$C$13,WEEKDAY(A57,2)),""))</f>
      </c>
      <c r="F57" s="48">
        <f>IF(A57="","",IFERROR(INDEX('00_Parametres'!$D$7:$D$13,WEEKDAY(A57,2)),""))</f>
      </c>
      <c r="G57" s="49">
        <f>IF(A57="","",IFERROR(INDEX('00_Parametres'!$E$7:$E$13,WEEKDAY(A57,2)),0))</f>
      </c>
      <c r="H57" s="50"/>
      <c r="I57" s="50"/>
      <c r="J57" s="51" t="s">
        <v>70</v>
      </c>
      <c r="K57" s="51" t="s">
        <v>70</v>
      </c>
      <c r="L57" s="48">
        <f>IF(OR(A57="",H57=""),"",IF(H57&lt;E57,IF(OR(J57="Oui",'00_Parametres'!$B$28="Oui"),H57,E57),H57))</f>
      </c>
      <c r="M57" s="48">
        <f>IF(OR(A57="",I57=""),"",IF(I57&gt;F57,IF(OR(K57="Oui",'00_Parametres'!$B$29="Oui"),I57,F57),I57))</f>
      </c>
      <c r="N57" s="52">
        <f t="shared" si="5"/>
        <v>0</v>
      </c>
      <c r="O57" s="52">
        <f t="shared" si="6"/>
        <v>0</v>
      </c>
      <c r="P57" s="53">
        <f t="shared" si="7"/>
        <v>0</v>
      </c>
      <c r="Q57" s="53">
        <f>IF(P57=0,0,MIN(P57,'00_Parametres'!$B$23))</f>
        <v>0</v>
      </c>
      <c r="R57" s="53">
        <f>IF(P57=0,0,MAX(0,P57-'00_Parametres'!$B$23))</f>
        <v>0</v>
      </c>
      <c r="S57" s="26"/>
      <c r="T57" s="26"/>
      <c r="U57" s="40"/>
    </row>
    <row r="58" ht="15" customHeight="1" spans="1:21" x14ac:dyDescent="0.25">
      <c r="A58" s="46"/>
      <c r="B58" s="26"/>
      <c r="C58" s="41">
        <f>IF(B58="","",IFERROR(VLOOKUP(B58,Employes[[ID]:[Nom Complet]],4,FALSE()),""))</f>
      </c>
      <c r="D58" s="47">
        <f t="shared" si="4"/>
      </c>
      <c r="E58" s="48">
        <f>IF(A58="","",IFERROR(INDEX('00_Parametres'!$C$7:$C$13,WEEKDAY(A58,2)),""))</f>
      </c>
      <c r="F58" s="48">
        <f>IF(A58="","",IFERROR(INDEX('00_Parametres'!$D$7:$D$13,WEEKDAY(A58,2)),""))</f>
      </c>
      <c r="G58" s="49">
        <f>IF(A58="","",IFERROR(INDEX('00_Parametres'!$E$7:$E$13,WEEKDAY(A58,2)),0))</f>
      </c>
      <c r="H58" s="50"/>
      <c r="I58" s="50"/>
      <c r="J58" s="51" t="s">
        <v>70</v>
      </c>
      <c r="K58" s="51" t="s">
        <v>70</v>
      </c>
      <c r="L58" s="48">
        <f>IF(OR(A58="",H58=""),"",IF(H58&lt;E58,IF(OR(J58="Oui",'00_Parametres'!$B$28="Oui"),H58,E58),H58))</f>
      </c>
      <c r="M58" s="48">
        <f>IF(OR(A58="",I58=""),"",IF(I58&gt;F58,IF(OR(K58="Oui",'00_Parametres'!$B$29="Oui"),I58,F58),I58))</f>
      </c>
      <c r="N58" s="52">
        <f t="shared" si="5"/>
        <v>0</v>
      </c>
      <c r="O58" s="52">
        <f t="shared" si="6"/>
        <v>0</v>
      </c>
      <c r="P58" s="53">
        <f t="shared" si="7"/>
        <v>0</v>
      </c>
      <c r="Q58" s="53">
        <f>IF(P58=0,0,MIN(P58,'00_Parametres'!$B$23))</f>
        <v>0</v>
      </c>
      <c r="R58" s="53">
        <f>IF(P58=0,0,MAX(0,P58-'00_Parametres'!$B$23))</f>
        <v>0</v>
      </c>
      <c r="S58" s="26"/>
      <c r="T58" s="26"/>
      <c r="U58" s="40"/>
    </row>
    <row r="59" ht="15" customHeight="1" spans="1:21" x14ac:dyDescent="0.25">
      <c r="A59" s="46"/>
      <c r="B59" s="26"/>
      <c r="C59" s="41">
        <f>IF(B59="","",IFERROR(VLOOKUP(B59,Employes[[ID]:[Nom Complet]],4,FALSE()),""))</f>
      </c>
      <c r="D59" s="47">
        <f t="shared" si="4"/>
      </c>
      <c r="E59" s="48">
        <f>IF(A59="","",IFERROR(INDEX('00_Parametres'!$C$7:$C$13,WEEKDAY(A59,2)),""))</f>
      </c>
      <c r="F59" s="48">
        <f>IF(A59="","",IFERROR(INDEX('00_Parametres'!$D$7:$D$13,WEEKDAY(A59,2)),""))</f>
      </c>
      <c r="G59" s="49">
        <f>IF(A59="","",IFERROR(INDEX('00_Parametres'!$E$7:$E$13,WEEKDAY(A59,2)),0))</f>
      </c>
      <c r="H59" s="50"/>
      <c r="I59" s="50"/>
      <c r="J59" s="51" t="s">
        <v>70</v>
      </c>
      <c r="K59" s="51" t="s">
        <v>70</v>
      </c>
      <c r="L59" s="48">
        <f>IF(OR(A59="",H59=""),"",IF(H59&lt;E59,IF(OR(J59="Oui",'00_Parametres'!$B$28="Oui"),H59,E59),H59))</f>
      </c>
      <c r="M59" s="48">
        <f>IF(OR(A59="",I59=""),"",IF(I59&gt;F59,IF(OR(K59="Oui",'00_Parametres'!$B$29="Oui"),I59,F59),I59))</f>
      </c>
      <c r="N59" s="52">
        <f t="shared" si="5"/>
        <v>0</v>
      </c>
      <c r="O59" s="52">
        <f t="shared" si="6"/>
        <v>0</v>
      </c>
      <c r="P59" s="53">
        <f t="shared" si="7"/>
        <v>0</v>
      </c>
      <c r="Q59" s="53">
        <f>IF(P59=0,0,MIN(P59,'00_Parametres'!$B$23))</f>
        <v>0</v>
      </c>
      <c r="R59" s="53">
        <f>IF(P59=0,0,MAX(0,P59-'00_Parametres'!$B$23))</f>
        <v>0</v>
      </c>
      <c r="S59" s="26"/>
      <c r="T59" s="26"/>
      <c r="U59" s="40"/>
    </row>
    <row r="60" ht="15" customHeight="1" spans="1:21" x14ac:dyDescent="0.25">
      <c r="A60" s="46"/>
      <c r="B60" s="26"/>
      <c r="C60" s="41">
        <f>IF(B60="","",IFERROR(VLOOKUP(B60,Employes[[ID]:[Nom Complet]],4,FALSE()),""))</f>
      </c>
      <c r="D60" s="47">
        <f t="shared" si="4"/>
      </c>
      <c r="E60" s="48">
        <f>IF(A60="","",IFERROR(INDEX('00_Parametres'!$C$7:$C$13,WEEKDAY(A60,2)),""))</f>
      </c>
      <c r="F60" s="48">
        <f>IF(A60="","",IFERROR(INDEX('00_Parametres'!$D$7:$D$13,WEEKDAY(A60,2)),""))</f>
      </c>
      <c r="G60" s="49">
        <f>IF(A60="","",IFERROR(INDEX('00_Parametres'!$E$7:$E$13,WEEKDAY(A60,2)),0))</f>
      </c>
      <c r="H60" s="50"/>
      <c r="I60" s="50"/>
      <c r="J60" s="51" t="s">
        <v>70</v>
      </c>
      <c r="K60" s="51" t="s">
        <v>70</v>
      </c>
      <c r="L60" s="48">
        <f>IF(OR(A60="",H60=""),"",IF(H60&lt;E60,IF(OR(J60="Oui",'00_Parametres'!$B$28="Oui"),H60,E60),H60))</f>
      </c>
      <c r="M60" s="48">
        <f>IF(OR(A60="",I60=""),"",IF(I60&gt;F60,IF(OR(K60="Oui",'00_Parametres'!$B$29="Oui"),I60,F60),I60))</f>
      </c>
      <c r="N60" s="52">
        <f t="shared" si="5"/>
        <v>0</v>
      </c>
      <c r="O60" s="52">
        <f t="shared" si="6"/>
        <v>0</v>
      </c>
      <c r="P60" s="53">
        <f t="shared" si="7"/>
        <v>0</v>
      </c>
      <c r="Q60" s="53">
        <f>IF(P60=0,0,MIN(P60,'00_Parametres'!$B$23))</f>
        <v>0</v>
      </c>
      <c r="R60" s="53">
        <f>IF(P60=0,0,MAX(0,P60-'00_Parametres'!$B$23))</f>
        <v>0</v>
      </c>
      <c r="S60" s="26"/>
      <c r="T60" s="26"/>
      <c r="U60" s="40"/>
    </row>
    <row r="61" ht="15" customHeight="1" spans="1:21" x14ac:dyDescent="0.25">
      <c r="A61" s="46"/>
      <c r="B61" s="26"/>
      <c r="C61" s="41">
        <f>IF(B61="","",IFERROR(VLOOKUP(B61,Employes[[ID]:[Nom Complet]],4,FALSE()),""))</f>
      </c>
      <c r="D61" s="47">
        <f t="shared" si="4"/>
      </c>
      <c r="E61" s="48">
        <f>IF(A61="","",IFERROR(INDEX('00_Parametres'!$C$7:$C$13,WEEKDAY(A61,2)),""))</f>
      </c>
      <c r="F61" s="48">
        <f>IF(A61="","",IFERROR(INDEX('00_Parametres'!$D$7:$D$13,WEEKDAY(A61,2)),""))</f>
      </c>
      <c r="G61" s="49">
        <f>IF(A61="","",IFERROR(INDEX('00_Parametres'!$E$7:$E$13,WEEKDAY(A61,2)),0))</f>
      </c>
      <c r="H61" s="50"/>
      <c r="I61" s="50"/>
      <c r="J61" s="51" t="s">
        <v>70</v>
      </c>
      <c r="K61" s="51" t="s">
        <v>70</v>
      </c>
      <c r="L61" s="48">
        <f>IF(OR(A61="",H61=""),"",IF(H61&lt;E61,IF(OR(J61="Oui",'00_Parametres'!$B$28="Oui"),H61,E61),H61))</f>
      </c>
      <c r="M61" s="48">
        <f>IF(OR(A61="",I61=""),"",IF(I61&gt;F61,IF(OR(K61="Oui",'00_Parametres'!$B$29="Oui"),I61,F61),I61))</f>
      </c>
      <c r="N61" s="52">
        <f t="shared" si="5"/>
        <v>0</v>
      </c>
      <c r="O61" s="52">
        <f t="shared" si="6"/>
        <v>0</v>
      </c>
      <c r="P61" s="53">
        <f t="shared" si="7"/>
        <v>0</v>
      </c>
      <c r="Q61" s="53">
        <f>IF(P61=0,0,MIN(P61,'00_Parametres'!$B$23))</f>
        <v>0</v>
      </c>
      <c r="R61" s="53">
        <f>IF(P61=0,0,MAX(0,P61-'00_Parametres'!$B$23))</f>
        <v>0</v>
      </c>
      <c r="S61" s="26"/>
      <c r="T61" s="26"/>
      <c r="U61" s="40"/>
    </row>
    <row r="62" ht="15" customHeight="1" spans="1:21" x14ac:dyDescent="0.25">
      <c r="A62" s="46"/>
      <c r="B62" s="26"/>
      <c r="C62" s="41">
        <f>IF(B62="","",IFERROR(VLOOKUP(B62,Employes[[ID]:[Nom Complet]],4,FALSE()),""))</f>
      </c>
      <c r="D62" s="47">
        <f t="shared" si="4"/>
      </c>
      <c r="E62" s="48">
        <f>IF(A62="","",IFERROR(INDEX('00_Parametres'!$C$7:$C$13,WEEKDAY(A62,2)),""))</f>
      </c>
      <c r="F62" s="48">
        <f>IF(A62="","",IFERROR(INDEX('00_Parametres'!$D$7:$D$13,WEEKDAY(A62,2)),""))</f>
      </c>
      <c r="G62" s="49">
        <f>IF(A62="","",IFERROR(INDEX('00_Parametres'!$E$7:$E$13,WEEKDAY(A62,2)),0))</f>
      </c>
      <c r="H62" s="50"/>
      <c r="I62" s="50"/>
      <c r="J62" s="51" t="s">
        <v>70</v>
      </c>
      <c r="K62" s="51" t="s">
        <v>70</v>
      </c>
      <c r="L62" s="48">
        <f>IF(OR(A62="",H62=""),"",IF(H62&lt;E62,IF(OR(J62="Oui",'00_Parametres'!$B$28="Oui"),H62,E62),H62))</f>
      </c>
      <c r="M62" s="48">
        <f>IF(OR(A62="",I62=""),"",IF(I62&gt;F62,IF(OR(K62="Oui",'00_Parametres'!$B$29="Oui"),I62,F62),I62))</f>
      </c>
      <c r="N62" s="52">
        <f t="shared" si="5"/>
        <v>0</v>
      </c>
      <c r="O62" s="52">
        <f t="shared" si="6"/>
        <v>0</v>
      </c>
      <c r="P62" s="53">
        <f t="shared" si="7"/>
        <v>0</v>
      </c>
      <c r="Q62" s="53">
        <f>IF(P62=0,0,MIN(P62,'00_Parametres'!$B$23))</f>
        <v>0</v>
      </c>
      <c r="R62" s="53">
        <f>IF(P62=0,0,MAX(0,P62-'00_Parametres'!$B$23))</f>
        <v>0</v>
      </c>
      <c r="S62" s="26"/>
      <c r="T62" s="26"/>
      <c r="U62" s="40"/>
    </row>
    <row r="63" ht="15" customHeight="1" spans="1:21" x14ac:dyDescent="0.25">
      <c r="A63" s="46"/>
      <c r="B63" s="26"/>
      <c r="C63" s="41">
        <f>IF(B63="","",IFERROR(VLOOKUP(B63,Employes[[ID]:[Nom Complet]],4,FALSE()),""))</f>
      </c>
      <c r="D63" s="47">
        <f t="shared" si="4"/>
      </c>
      <c r="E63" s="48">
        <f>IF(A63="","",IFERROR(INDEX('00_Parametres'!$C$7:$C$13,WEEKDAY(A63,2)),""))</f>
      </c>
      <c r="F63" s="48">
        <f>IF(A63="","",IFERROR(INDEX('00_Parametres'!$D$7:$D$13,WEEKDAY(A63,2)),""))</f>
      </c>
      <c r="G63" s="49">
        <f>IF(A63="","",IFERROR(INDEX('00_Parametres'!$E$7:$E$13,WEEKDAY(A63,2)),0))</f>
      </c>
      <c r="H63" s="50"/>
      <c r="I63" s="50"/>
      <c r="J63" s="51" t="s">
        <v>70</v>
      </c>
      <c r="K63" s="51" t="s">
        <v>70</v>
      </c>
      <c r="L63" s="48">
        <f>IF(OR(A63="",H63=""),"",IF(H63&lt;E63,IF(OR(J63="Oui",'00_Parametres'!$B$28="Oui"),H63,E63),H63))</f>
      </c>
      <c r="M63" s="48">
        <f>IF(OR(A63="",I63=""),"",IF(I63&gt;F63,IF(OR(K63="Oui",'00_Parametres'!$B$29="Oui"),I63,F63),I63))</f>
      </c>
      <c r="N63" s="52">
        <f t="shared" si="5"/>
        <v>0</v>
      </c>
      <c r="O63" s="52">
        <f t="shared" si="6"/>
        <v>0</v>
      </c>
      <c r="P63" s="53">
        <f t="shared" si="7"/>
        <v>0</v>
      </c>
      <c r="Q63" s="53">
        <f>IF(P63=0,0,MIN(P63,'00_Parametres'!$B$23))</f>
        <v>0</v>
      </c>
      <c r="R63" s="53">
        <f>IF(P63=0,0,MAX(0,P63-'00_Parametres'!$B$23))</f>
        <v>0</v>
      </c>
      <c r="S63" s="26"/>
      <c r="T63" s="26"/>
      <c r="U63" s="40"/>
    </row>
    <row r="64" ht="15" customHeight="1" spans="1:21" x14ac:dyDescent="0.25">
      <c r="A64" s="46"/>
      <c r="B64" s="26"/>
      <c r="C64" s="41">
        <f>IF(B64="","",IFERROR(VLOOKUP(B64,Employes[[ID]:[Nom Complet]],4,FALSE()),""))</f>
      </c>
      <c r="D64" s="47">
        <f t="shared" si="4"/>
      </c>
      <c r="E64" s="48">
        <f>IF(A64="","",IFERROR(INDEX('00_Parametres'!$C$7:$C$13,WEEKDAY(A64,2)),""))</f>
      </c>
      <c r="F64" s="48">
        <f>IF(A64="","",IFERROR(INDEX('00_Parametres'!$D$7:$D$13,WEEKDAY(A64,2)),""))</f>
      </c>
      <c r="G64" s="49">
        <f>IF(A64="","",IFERROR(INDEX('00_Parametres'!$E$7:$E$13,WEEKDAY(A64,2)),0))</f>
      </c>
      <c r="H64" s="50"/>
      <c r="I64" s="50"/>
      <c r="J64" s="51" t="s">
        <v>70</v>
      </c>
      <c r="K64" s="51" t="s">
        <v>70</v>
      </c>
      <c r="L64" s="48">
        <f>IF(OR(A64="",H64=""),"",IF(H64&lt;E64,IF(OR(J64="Oui",'00_Parametres'!$B$28="Oui"),H64,E64),H64))</f>
      </c>
      <c r="M64" s="48">
        <f>IF(OR(A64="",I64=""),"",IF(I64&gt;F64,IF(OR(K64="Oui",'00_Parametres'!$B$29="Oui"),I64,F64),I64))</f>
      </c>
      <c r="N64" s="52">
        <f t="shared" si="5"/>
        <v>0</v>
      </c>
      <c r="O64" s="52">
        <f t="shared" si="6"/>
        <v>0</v>
      </c>
      <c r="P64" s="53">
        <f t="shared" si="7"/>
        <v>0</v>
      </c>
      <c r="Q64" s="53">
        <f>IF(P64=0,0,MIN(P64,'00_Parametres'!$B$23))</f>
        <v>0</v>
      </c>
      <c r="R64" s="53">
        <f>IF(P64=0,0,MAX(0,P64-'00_Parametres'!$B$23))</f>
        <v>0</v>
      </c>
      <c r="S64" s="26"/>
      <c r="T64" s="26"/>
      <c r="U64" s="40"/>
    </row>
    <row r="65" ht="15" customHeight="1" spans="1:21" x14ac:dyDescent="0.25">
      <c r="A65" s="46"/>
      <c r="B65" s="26"/>
      <c r="C65" s="41">
        <f>IF(B65="","",IFERROR(VLOOKUP(B65,Employes[[ID]:[Nom Complet]],4,FALSE()),""))</f>
      </c>
      <c r="D65" s="47">
        <f t="shared" si="4"/>
      </c>
      <c r="E65" s="48">
        <f>IF(A65="","",IFERROR(INDEX('00_Parametres'!$C$7:$C$13,WEEKDAY(A65,2)),""))</f>
      </c>
      <c r="F65" s="48">
        <f>IF(A65="","",IFERROR(INDEX('00_Parametres'!$D$7:$D$13,WEEKDAY(A65,2)),""))</f>
      </c>
      <c r="G65" s="49">
        <f>IF(A65="","",IFERROR(INDEX('00_Parametres'!$E$7:$E$13,WEEKDAY(A65,2)),0))</f>
      </c>
      <c r="H65" s="50"/>
      <c r="I65" s="50"/>
      <c r="J65" s="51" t="s">
        <v>70</v>
      </c>
      <c r="K65" s="51" t="s">
        <v>70</v>
      </c>
      <c r="L65" s="48">
        <f>IF(OR(A65="",H65=""),"",IF(H65&lt;E65,IF(OR(J65="Oui",'00_Parametres'!$B$28="Oui"),H65,E65),H65))</f>
      </c>
      <c r="M65" s="48">
        <f>IF(OR(A65="",I65=""),"",IF(I65&gt;F65,IF(OR(K65="Oui",'00_Parametres'!$B$29="Oui"),I65,F65),I65))</f>
      </c>
      <c r="N65" s="52">
        <f t="shared" si="5"/>
        <v>0</v>
      </c>
      <c r="O65" s="52">
        <f t="shared" si="6"/>
        <v>0</v>
      </c>
      <c r="P65" s="53">
        <f t="shared" si="7"/>
        <v>0</v>
      </c>
      <c r="Q65" s="53">
        <f>IF(P65=0,0,MIN(P65,'00_Parametres'!$B$23))</f>
        <v>0</v>
      </c>
      <c r="R65" s="53">
        <f>IF(P65=0,0,MAX(0,P65-'00_Parametres'!$B$23))</f>
        <v>0</v>
      </c>
      <c r="S65" s="26"/>
      <c r="T65" s="26"/>
      <c r="U65" s="40"/>
    </row>
    <row r="66" ht="15" customHeight="1" spans="1:21" x14ac:dyDescent="0.25">
      <c r="A66" s="46"/>
      <c r="B66" s="26"/>
      <c r="C66" s="41">
        <f>IF(B66="","",IFERROR(VLOOKUP(B66,Employes[[ID]:[Nom Complet]],4,FALSE()),""))</f>
      </c>
      <c r="D66" s="47">
        <f t="shared" si="4"/>
      </c>
      <c r="E66" s="48">
        <f>IF(A66="","",IFERROR(INDEX('00_Parametres'!$C$7:$C$13,WEEKDAY(A66,2)),""))</f>
      </c>
      <c r="F66" s="48">
        <f>IF(A66="","",IFERROR(INDEX('00_Parametres'!$D$7:$D$13,WEEKDAY(A66,2)),""))</f>
      </c>
      <c r="G66" s="49">
        <f>IF(A66="","",IFERROR(INDEX('00_Parametres'!$E$7:$E$13,WEEKDAY(A66,2)),0))</f>
      </c>
      <c r="H66" s="50"/>
      <c r="I66" s="50"/>
      <c r="J66" s="51" t="s">
        <v>70</v>
      </c>
      <c r="K66" s="51" t="s">
        <v>70</v>
      </c>
      <c r="L66" s="48">
        <f>IF(OR(A66="",H66=""),"",IF(H66&lt;E66,IF(OR(J66="Oui",'00_Parametres'!$B$28="Oui"),H66,E66),H66))</f>
      </c>
      <c r="M66" s="48">
        <f>IF(OR(A66="",I66=""),"",IF(I66&gt;F66,IF(OR(K66="Oui",'00_Parametres'!$B$29="Oui"),I66,F66),I66))</f>
      </c>
      <c r="N66" s="52">
        <f t="shared" si="5"/>
        <v>0</v>
      </c>
      <c r="O66" s="52">
        <f t="shared" si="6"/>
        <v>0</v>
      </c>
      <c r="P66" s="53">
        <f t="shared" si="7"/>
        <v>0</v>
      </c>
      <c r="Q66" s="53">
        <f>IF(P66=0,0,MIN(P66,'00_Parametres'!$B$23))</f>
        <v>0</v>
      </c>
      <c r="R66" s="53">
        <f>IF(P66=0,0,MAX(0,P66-'00_Parametres'!$B$23))</f>
        <v>0</v>
      </c>
      <c r="S66" s="26"/>
      <c r="T66" s="26"/>
      <c r="U66" s="40"/>
    </row>
    <row r="67" ht="15" customHeight="1" spans="1:21" x14ac:dyDescent="0.25">
      <c r="A67" s="46"/>
      <c r="B67" s="26"/>
      <c r="C67" s="41">
        <f>IF(B67="","",IFERROR(VLOOKUP(B67,Employes[[ID]:[Nom Complet]],4,FALSE()),""))</f>
      </c>
      <c r="D67" s="47">
        <f t="shared" si="4"/>
      </c>
      <c r="E67" s="48">
        <f>IF(A67="","",IFERROR(INDEX('00_Parametres'!$C$7:$C$13,WEEKDAY(A67,2)),""))</f>
      </c>
      <c r="F67" s="48">
        <f>IF(A67="","",IFERROR(INDEX('00_Parametres'!$D$7:$D$13,WEEKDAY(A67,2)),""))</f>
      </c>
      <c r="G67" s="49">
        <f>IF(A67="","",IFERROR(INDEX('00_Parametres'!$E$7:$E$13,WEEKDAY(A67,2)),0))</f>
      </c>
      <c r="H67" s="50"/>
      <c r="I67" s="50"/>
      <c r="J67" s="51" t="s">
        <v>70</v>
      </c>
      <c r="K67" s="51" t="s">
        <v>70</v>
      </c>
      <c r="L67" s="48">
        <f>IF(OR(A67="",H67=""),"",IF(H67&lt;E67,IF(OR(J67="Oui",'00_Parametres'!$B$28="Oui"),H67,E67),H67))</f>
      </c>
      <c r="M67" s="48">
        <f>IF(OR(A67="",I67=""),"",IF(I67&gt;F67,IF(OR(K67="Oui",'00_Parametres'!$B$29="Oui"),I67,F67),I67))</f>
      </c>
      <c r="N67" s="52">
        <f t="shared" si="5"/>
        <v>0</v>
      </c>
      <c r="O67" s="52">
        <f t="shared" si="6"/>
        <v>0</v>
      </c>
      <c r="P67" s="53">
        <f t="shared" si="7"/>
        <v>0</v>
      </c>
      <c r="Q67" s="53">
        <f>IF(P67=0,0,MIN(P67,'00_Parametres'!$B$23))</f>
        <v>0</v>
      </c>
      <c r="R67" s="53">
        <f>IF(P67=0,0,MAX(0,P67-'00_Parametres'!$B$23))</f>
        <v>0</v>
      </c>
      <c r="S67" s="26"/>
      <c r="T67" s="26"/>
      <c r="U67" s="40"/>
    </row>
    <row r="68" ht="15" customHeight="1" spans="1:21" x14ac:dyDescent="0.25">
      <c r="A68" s="46"/>
      <c r="B68" s="26"/>
      <c r="C68" s="41">
        <f>IF(B68="","",IFERROR(VLOOKUP(B68,Employes[[ID]:[Nom Complet]],4,FALSE()),""))</f>
      </c>
      <c r="D68" s="47">
        <f t="shared" si="4"/>
      </c>
      <c r="E68" s="48">
        <f>IF(A68="","",IFERROR(INDEX('00_Parametres'!$C$7:$C$13,WEEKDAY(A68,2)),""))</f>
      </c>
      <c r="F68" s="48">
        <f>IF(A68="","",IFERROR(INDEX('00_Parametres'!$D$7:$D$13,WEEKDAY(A68,2)),""))</f>
      </c>
      <c r="G68" s="49">
        <f>IF(A68="","",IFERROR(INDEX('00_Parametres'!$E$7:$E$13,WEEKDAY(A68,2)),0))</f>
      </c>
      <c r="H68" s="50"/>
      <c r="I68" s="50"/>
      <c r="J68" s="51" t="s">
        <v>70</v>
      </c>
      <c r="K68" s="51" t="s">
        <v>70</v>
      </c>
      <c r="L68" s="48">
        <f>IF(OR(A68="",H68=""),"",IF(H68&lt;E68,IF(OR(J68="Oui",'00_Parametres'!$B$28="Oui"),H68,E68),H68))</f>
      </c>
      <c r="M68" s="48">
        <f>IF(OR(A68="",I68=""),"",IF(I68&gt;F68,IF(OR(K68="Oui",'00_Parametres'!$B$29="Oui"),I68,F68),I68))</f>
      </c>
      <c r="N68" s="52">
        <f t="shared" si="5"/>
        <v>0</v>
      </c>
      <c r="O68" s="52">
        <f t="shared" si="6"/>
        <v>0</v>
      </c>
      <c r="P68" s="53">
        <f t="shared" si="7"/>
        <v>0</v>
      </c>
      <c r="Q68" s="53">
        <f>IF(P68=0,0,MIN(P68,'00_Parametres'!$B$23))</f>
        <v>0</v>
      </c>
      <c r="R68" s="53">
        <f>IF(P68=0,0,MAX(0,P68-'00_Parametres'!$B$23))</f>
        <v>0</v>
      </c>
      <c r="S68" s="26"/>
      <c r="T68" s="26"/>
      <c r="U68" s="40"/>
    </row>
    <row r="69" ht="15" customHeight="1" spans="1:21" x14ac:dyDescent="0.25">
      <c r="A69" s="46"/>
      <c r="B69" s="26"/>
      <c r="C69" s="41">
        <f>IF(B69="","",IFERROR(VLOOKUP(B69,Employes[[ID]:[Nom Complet]],4,FALSE()),""))</f>
      </c>
      <c r="D69" s="47">
        <f t="shared" si="4"/>
      </c>
      <c r="E69" s="48">
        <f>IF(A69="","",IFERROR(INDEX('00_Parametres'!$C$7:$C$13,WEEKDAY(A69,2)),""))</f>
      </c>
      <c r="F69" s="48">
        <f>IF(A69="","",IFERROR(INDEX('00_Parametres'!$D$7:$D$13,WEEKDAY(A69,2)),""))</f>
      </c>
      <c r="G69" s="49">
        <f>IF(A69="","",IFERROR(INDEX('00_Parametres'!$E$7:$E$13,WEEKDAY(A69,2)),0))</f>
      </c>
      <c r="H69" s="50"/>
      <c r="I69" s="50"/>
      <c r="J69" s="51" t="s">
        <v>70</v>
      </c>
      <c r="K69" s="51" t="s">
        <v>70</v>
      </c>
      <c r="L69" s="48">
        <f>IF(OR(A69="",H69=""),"",IF(H69&lt;E69,IF(OR(J69="Oui",'00_Parametres'!$B$28="Oui"),H69,E69),H69))</f>
      </c>
      <c r="M69" s="48">
        <f>IF(OR(A69="",I69=""),"",IF(I69&gt;F69,IF(OR(K69="Oui",'00_Parametres'!$B$29="Oui"),I69,F69),I69))</f>
      </c>
      <c r="N69" s="52">
        <f t="shared" si="5"/>
        <v>0</v>
      </c>
      <c r="O69" s="52">
        <f t="shared" si="6"/>
        <v>0</v>
      </c>
      <c r="P69" s="53">
        <f t="shared" si="7"/>
        <v>0</v>
      </c>
      <c r="Q69" s="53">
        <f>IF(P69=0,0,MIN(P69,'00_Parametres'!$B$23))</f>
        <v>0</v>
      </c>
      <c r="R69" s="53">
        <f>IF(P69=0,0,MAX(0,P69-'00_Parametres'!$B$23))</f>
        <v>0</v>
      </c>
      <c r="S69" s="26"/>
      <c r="T69" s="26"/>
      <c r="U69" s="40"/>
    </row>
    <row r="70" ht="15" customHeight="1" spans="1:21" x14ac:dyDescent="0.25">
      <c r="A70" s="46"/>
      <c r="B70" s="26"/>
      <c r="C70" s="41">
        <f>IF(B70="","",IFERROR(VLOOKUP(B70,Employes[[ID]:[Nom Complet]],4,FALSE()),""))</f>
      </c>
      <c r="D70" s="47">
        <f t="shared" ref="D70:D101" si="8">IF(A70="","",TEXT(A70,"dddd"))</f>
      </c>
      <c r="E70" s="48">
        <f>IF(A70="","",IFERROR(INDEX('00_Parametres'!$C$7:$C$13,WEEKDAY(A70,2)),""))</f>
      </c>
      <c r="F70" s="48">
        <f>IF(A70="","",IFERROR(INDEX('00_Parametres'!$D$7:$D$13,WEEKDAY(A70,2)),""))</f>
      </c>
      <c r="G70" s="49">
        <f>IF(A70="","",IFERROR(INDEX('00_Parametres'!$E$7:$E$13,WEEKDAY(A70,2)),0))</f>
      </c>
      <c r="H70" s="50"/>
      <c r="I70" s="50"/>
      <c r="J70" s="51" t="s">
        <v>70</v>
      </c>
      <c r="K70" s="51" t="s">
        <v>70</v>
      </c>
      <c r="L70" s="48">
        <f>IF(OR(A70="",H70=""),"",IF(H70&lt;E70,IF(OR(J70="Oui",'00_Parametres'!$B$28="Oui"),H70,E70),H70))</f>
      </c>
      <c r="M70" s="48">
        <f>IF(OR(A70="",I70=""),"",IF(I70&gt;F70,IF(OR(K70="Oui",'00_Parametres'!$B$29="Oui"),I70,F70),I70))</f>
      </c>
      <c r="N70" s="52">
        <f t="shared" ref="N70:N101" si="9">IF(OR(A70="",H70="",E70=""),0,MAX(0,ROUND((H70-E70)*1440,0)))</f>
        <v>0</v>
      </c>
      <c r="O70" s="52">
        <f t="shared" ref="O70:O101" si="10">IF(OR(A70="",I70="",F70=""),0,MAX(0,ROUND((F70-I70)*1440,0)))</f>
        <v>0</v>
      </c>
      <c r="P70" s="53">
        <f t="shared" ref="P70:P101" si="11">IF(OR(L70="",M70=""),0,MAX(0,ROUND((M70-L70)*24-G70,2)))</f>
        <v>0</v>
      </c>
      <c r="Q70" s="53">
        <f>IF(P70=0,0,MIN(P70,'00_Parametres'!$B$23))</f>
        <v>0</v>
      </c>
      <c r="R70" s="53">
        <f>IF(P70=0,0,MAX(0,P70-'00_Parametres'!$B$23))</f>
        <v>0</v>
      </c>
      <c r="S70" s="26"/>
      <c r="T70" s="26"/>
      <c r="U70" s="40"/>
    </row>
    <row r="71" ht="15" customHeight="1" spans="1:21" x14ac:dyDescent="0.25">
      <c r="A71" s="46"/>
      <c r="B71" s="26"/>
      <c r="C71" s="41">
        <f>IF(B71="","",IFERROR(VLOOKUP(B71,Employes[[ID]:[Nom Complet]],4,FALSE()),""))</f>
      </c>
      <c r="D71" s="47">
        <f t="shared" si="8"/>
      </c>
      <c r="E71" s="48">
        <f>IF(A71="","",IFERROR(INDEX('00_Parametres'!$C$7:$C$13,WEEKDAY(A71,2)),""))</f>
      </c>
      <c r="F71" s="48">
        <f>IF(A71="","",IFERROR(INDEX('00_Parametres'!$D$7:$D$13,WEEKDAY(A71,2)),""))</f>
      </c>
      <c r="G71" s="49">
        <f>IF(A71="","",IFERROR(INDEX('00_Parametres'!$E$7:$E$13,WEEKDAY(A71,2)),0))</f>
      </c>
      <c r="H71" s="50"/>
      <c r="I71" s="50"/>
      <c r="J71" s="51" t="s">
        <v>70</v>
      </c>
      <c r="K71" s="51" t="s">
        <v>70</v>
      </c>
      <c r="L71" s="48">
        <f>IF(OR(A71="",H71=""),"",IF(H71&lt;E71,IF(OR(J71="Oui",'00_Parametres'!$B$28="Oui"),H71,E71),H71))</f>
      </c>
      <c r="M71" s="48">
        <f>IF(OR(A71="",I71=""),"",IF(I71&gt;F71,IF(OR(K71="Oui",'00_Parametres'!$B$29="Oui"),I71,F71),I71))</f>
      </c>
      <c r="N71" s="52">
        <f t="shared" si="9"/>
        <v>0</v>
      </c>
      <c r="O71" s="52">
        <f t="shared" si="10"/>
        <v>0</v>
      </c>
      <c r="P71" s="53">
        <f t="shared" si="11"/>
        <v>0</v>
      </c>
      <c r="Q71" s="53">
        <f>IF(P71=0,0,MIN(P71,'00_Parametres'!$B$23))</f>
        <v>0</v>
      </c>
      <c r="R71" s="53">
        <f>IF(P71=0,0,MAX(0,P71-'00_Parametres'!$B$23))</f>
        <v>0</v>
      </c>
      <c r="S71" s="26"/>
      <c r="T71" s="26"/>
      <c r="U71" s="40"/>
    </row>
    <row r="72" ht="15" customHeight="1" spans="1:21" x14ac:dyDescent="0.25">
      <c r="A72" s="46"/>
      <c r="B72" s="26"/>
      <c r="C72" s="41">
        <f>IF(B72="","",IFERROR(VLOOKUP(B72,Employes[[ID]:[Nom Complet]],4,FALSE()),""))</f>
      </c>
      <c r="D72" s="47">
        <f t="shared" si="8"/>
      </c>
      <c r="E72" s="48">
        <f>IF(A72="","",IFERROR(INDEX('00_Parametres'!$C$7:$C$13,WEEKDAY(A72,2)),""))</f>
      </c>
      <c r="F72" s="48">
        <f>IF(A72="","",IFERROR(INDEX('00_Parametres'!$D$7:$D$13,WEEKDAY(A72,2)),""))</f>
      </c>
      <c r="G72" s="49">
        <f>IF(A72="","",IFERROR(INDEX('00_Parametres'!$E$7:$E$13,WEEKDAY(A72,2)),0))</f>
      </c>
      <c r="H72" s="50"/>
      <c r="I72" s="50"/>
      <c r="J72" s="51" t="s">
        <v>70</v>
      </c>
      <c r="K72" s="51" t="s">
        <v>70</v>
      </c>
      <c r="L72" s="48">
        <f>IF(OR(A72="",H72=""),"",IF(H72&lt;E72,IF(OR(J72="Oui",'00_Parametres'!$B$28="Oui"),H72,E72),H72))</f>
      </c>
      <c r="M72" s="48">
        <f>IF(OR(A72="",I72=""),"",IF(I72&gt;F72,IF(OR(K72="Oui",'00_Parametres'!$B$29="Oui"),I72,F72),I72))</f>
      </c>
      <c r="N72" s="52">
        <f t="shared" si="9"/>
        <v>0</v>
      </c>
      <c r="O72" s="52">
        <f t="shared" si="10"/>
        <v>0</v>
      </c>
      <c r="P72" s="53">
        <f t="shared" si="11"/>
        <v>0</v>
      </c>
      <c r="Q72" s="53">
        <f>IF(P72=0,0,MIN(P72,'00_Parametres'!$B$23))</f>
        <v>0</v>
      </c>
      <c r="R72" s="53">
        <f>IF(P72=0,0,MAX(0,P72-'00_Parametres'!$B$23))</f>
        <v>0</v>
      </c>
      <c r="S72" s="26"/>
      <c r="T72" s="26"/>
      <c r="U72" s="40"/>
    </row>
    <row r="73" ht="15" customHeight="1" spans="1:21" x14ac:dyDescent="0.25">
      <c r="A73" s="46"/>
      <c r="B73" s="26"/>
      <c r="C73" s="41">
        <f>IF(B73="","",IFERROR(VLOOKUP(B73,Employes[[ID]:[Nom Complet]],4,FALSE()),""))</f>
      </c>
      <c r="D73" s="47">
        <f t="shared" si="8"/>
      </c>
      <c r="E73" s="48">
        <f>IF(A73="","",IFERROR(INDEX('00_Parametres'!$C$7:$C$13,WEEKDAY(A73,2)),""))</f>
      </c>
      <c r="F73" s="48">
        <f>IF(A73="","",IFERROR(INDEX('00_Parametres'!$D$7:$D$13,WEEKDAY(A73,2)),""))</f>
      </c>
      <c r="G73" s="49">
        <f>IF(A73="","",IFERROR(INDEX('00_Parametres'!$E$7:$E$13,WEEKDAY(A73,2)),0))</f>
      </c>
      <c r="H73" s="50"/>
      <c r="I73" s="50"/>
      <c r="J73" s="51" t="s">
        <v>70</v>
      </c>
      <c r="K73" s="51" t="s">
        <v>70</v>
      </c>
      <c r="L73" s="48">
        <f>IF(OR(A73="",H73=""),"",IF(H73&lt;E73,IF(OR(J73="Oui",'00_Parametres'!$B$28="Oui"),H73,E73),H73))</f>
      </c>
      <c r="M73" s="48">
        <f>IF(OR(A73="",I73=""),"",IF(I73&gt;F73,IF(OR(K73="Oui",'00_Parametres'!$B$29="Oui"),I73,F73),I73))</f>
      </c>
      <c r="N73" s="52">
        <f t="shared" si="9"/>
        <v>0</v>
      </c>
      <c r="O73" s="52">
        <f t="shared" si="10"/>
        <v>0</v>
      </c>
      <c r="P73" s="53">
        <f t="shared" si="11"/>
        <v>0</v>
      </c>
      <c r="Q73" s="53">
        <f>IF(P73=0,0,MIN(P73,'00_Parametres'!$B$23))</f>
        <v>0</v>
      </c>
      <c r="R73" s="53">
        <f>IF(P73=0,0,MAX(0,P73-'00_Parametres'!$B$23))</f>
        <v>0</v>
      </c>
      <c r="S73" s="26"/>
      <c r="T73" s="26"/>
      <c r="U73" s="40"/>
    </row>
    <row r="74" ht="15" customHeight="1" spans="1:21" x14ac:dyDescent="0.25">
      <c r="A74" s="46"/>
      <c r="B74" s="26"/>
      <c r="C74" s="41">
        <f>IF(B74="","",IFERROR(VLOOKUP(B74,Employes[[ID]:[Nom Complet]],4,FALSE()),""))</f>
      </c>
      <c r="D74" s="47">
        <f t="shared" si="8"/>
      </c>
      <c r="E74" s="48">
        <f>IF(A74="","",IFERROR(INDEX('00_Parametres'!$C$7:$C$13,WEEKDAY(A74,2)),""))</f>
      </c>
      <c r="F74" s="48">
        <f>IF(A74="","",IFERROR(INDEX('00_Parametres'!$D$7:$D$13,WEEKDAY(A74,2)),""))</f>
      </c>
      <c r="G74" s="49">
        <f>IF(A74="","",IFERROR(INDEX('00_Parametres'!$E$7:$E$13,WEEKDAY(A74,2)),0))</f>
      </c>
      <c r="H74" s="50"/>
      <c r="I74" s="50"/>
      <c r="J74" s="51" t="s">
        <v>70</v>
      </c>
      <c r="K74" s="51" t="s">
        <v>70</v>
      </c>
      <c r="L74" s="48">
        <f>IF(OR(A74="",H74=""),"",IF(H74&lt;E74,IF(OR(J74="Oui",'00_Parametres'!$B$28="Oui"),H74,E74),H74))</f>
      </c>
      <c r="M74" s="48">
        <f>IF(OR(A74="",I74=""),"",IF(I74&gt;F74,IF(OR(K74="Oui",'00_Parametres'!$B$29="Oui"),I74,F74),I74))</f>
      </c>
      <c r="N74" s="52">
        <f t="shared" si="9"/>
        <v>0</v>
      </c>
      <c r="O74" s="52">
        <f t="shared" si="10"/>
        <v>0</v>
      </c>
      <c r="P74" s="53">
        <f t="shared" si="11"/>
        <v>0</v>
      </c>
      <c r="Q74" s="53">
        <f>IF(P74=0,0,MIN(P74,'00_Parametres'!$B$23))</f>
        <v>0</v>
      </c>
      <c r="R74" s="53">
        <f>IF(P74=0,0,MAX(0,P74-'00_Parametres'!$B$23))</f>
        <v>0</v>
      </c>
      <c r="S74" s="26"/>
      <c r="T74" s="26"/>
      <c r="U74" s="40"/>
    </row>
    <row r="75" ht="15" customHeight="1" spans="1:21" x14ac:dyDescent="0.25">
      <c r="A75" s="46"/>
      <c r="B75" s="26"/>
      <c r="C75" s="41">
        <f>IF(B75="","",IFERROR(VLOOKUP(B75,Employes[[ID]:[Nom Complet]],4,FALSE()),""))</f>
      </c>
      <c r="D75" s="47">
        <f t="shared" si="8"/>
      </c>
      <c r="E75" s="48">
        <f>IF(A75="","",IFERROR(INDEX('00_Parametres'!$C$7:$C$13,WEEKDAY(A75,2)),""))</f>
      </c>
      <c r="F75" s="48">
        <f>IF(A75="","",IFERROR(INDEX('00_Parametres'!$D$7:$D$13,WEEKDAY(A75,2)),""))</f>
      </c>
      <c r="G75" s="49">
        <f>IF(A75="","",IFERROR(INDEX('00_Parametres'!$E$7:$E$13,WEEKDAY(A75,2)),0))</f>
      </c>
      <c r="H75" s="50"/>
      <c r="I75" s="50"/>
      <c r="J75" s="51" t="s">
        <v>70</v>
      </c>
      <c r="K75" s="51" t="s">
        <v>70</v>
      </c>
      <c r="L75" s="48">
        <f>IF(OR(A75="",H75=""),"",IF(H75&lt;E75,IF(OR(J75="Oui",'00_Parametres'!$B$28="Oui"),H75,E75),H75))</f>
      </c>
      <c r="M75" s="48">
        <f>IF(OR(A75="",I75=""),"",IF(I75&gt;F75,IF(OR(K75="Oui",'00_Parametres'!$B$29="Oui"),I75,F75),I75))</f>
      </c>
      <c r="N75" s="52">
        <f t="shared" si="9"/>
        <v>0</v>
      </c>
      <c r="O75" s="52">
        <f t="shared" si="10"/>
        <v>0</v>
      </c>
      <c r="P75" s="53">
        <f t="shared" si="11"/>
        <v>0</v>
      </c>
      <c r="Q75" s="53">
        <f>IF(P75=0,0,MIN(P75,'00_Parametres'!$B$23))</f>
        <v>0</v>
      </c>
      <c r="R75" s="53">
        <f>IF(P75=0,0,MAX(0,P75-'00_Parametres'!$B$23))</f>
        <v>0</v>
      </c>
      <c r="S75" s="26"/>
      <c r="T75" s="26"/>
      <c r="U75" s="40"/>
    </row>
    <row r="76" ht="15" customHeight="1" spans="1:21" x14ac:dyDescent="0.25">
      <c r="A76" s="46"/>
      <c r="B76" s="26"/>
      <c r="C76" s="41">
        <f>IF(B76="","",IFERROR(VLOOKUP(B76,Employes[[ID]:[Nom Complet]],4,FALSE()),""))</f>
      </c>
      <c r="D76" s="47">
        <f t="shared" si="8"/>
      </c>
      <c r="E76" s="48">
        <f>IF(A76="","",IFERROR(INDEX('00_Parametres'!$C$7:$C$13,WEEKDAY(A76,2)),""))</f>
      </c>
      <c r="F76" s="48">
        <f>IF(A76="","",IFERROR(INDEX('00_Parametres'!$D$7:$D$13,WEEKDAY(A76,2)),""))</f>
      </c>
      <c r="G76" s="49">
        <f>IF(A76="","",IFERROR(INDEX('00_Parametres'!$E$7:$E$13,WEEKDAY(A76,2)),0))</f>
      </c>
      <c r="H76" s="50"/>
      <c r="I76" s="50"/>
      <c r="J76" s="51" t="s">
        <v>70</v>
      </c>
      <c r="K76" s="51" t="s">
        <v>70</v>
      </c>
      <c r="L76" s="48">
        <f>IF(OR(A76="",H76=""),"",IF(H76&lt;E76,IF(OR(J76="Oui",'00_Parametres'!$B$28="Oui"),H76,E76),H76))</f>
      </c>
      <c r="M76" s="48">
        <f>IF(OR(A76="",I76=""),"",IF(I76&gt;F76,IF(OR(K76="Oui",'00_Parametres'!$B$29="Oui"),I76,F76),I76))</f>
      </c>
      <c r="N76" s="52">
        <f t="shared" si="9"/>
        <v>0</v>
      </c>
      <c r="O76" s="52">
        <f t="shared" si="10"/>
        <v>0</v>
      </c>
      <c r="P76" s="53">
        <f t="shared" si="11"/>
        <v>0</v>
      </c>
      <c r="Q76" s="53">
        <f>IF(P76=0,0,MIN(P76,'00_Parametres'!$B$23))</f>
        <v>0</v>
      </c>
      <c r="R76" s="53">
        <f>IF(P76=0,0,MAX(0,P76-'00_Parametres'!$B$23))</f>
        <v>0</v>
      </c>
      <c r="S76" s="26"/>
      <c r="T76" s="26"/>
      <c r="U76" s="40"/>
    </row>
    <row r="77" ht="15" customHeight="1" spans="1:21" x14ac:dyDescent="0.25">
      <c r="A77" s="46"/>
      <c r="B77" s="26"/>
      <c r="C77" s="41">
        <f>IF(B77="","",IFERROR(VLOOKUP(B77,Employes[[ID]:[Nom Complet]],4,FALSE()),""))</f>
      </c>
      <c r="D77" s="47">
        <f t="shared" si="8"/>
      </c>
      <c r="E77" s="48">
        <f>IF(A77="","",IFERROR(INDEX('00_Parametres'!$C$7:$C$13,WEEKDAY(A77,2)),""))</f>
      </c>
      <c r="F77" s="48">
        <f>IF(A77="","",IFERROR(INDEX('00_Parametres'!$D$7:$D$13,WEEKDAY(A77,2)),""))</f>
      </c>
      <c r="G77" s="49">
        <f>IF(A77="","",IFERROR(INDEX('00_Parametres'!$E$7:$E$13,WEEKDAY(A77,2)),0))</f>
      </c>
      <c r="H77" s="50"/>
      <c r="I77" s="50"/>
      <c r="J77" s="51" t="s">
        <v>70</v>
      </c>
      <c r="K77" s="51" t="s">
        <v>70</v>
      </c>
      <c r="L77" s="48">
        <f>IF(OR(A77="",H77=""),"",IF(H77&lt;E77,IF(OR(J77="Oui",'00_Parametres'!$B$28="Oui"),H77,E77),H77))</f>
      </c>
      <c r="M77" s="48">
        <f>IF(OR(A77="",I77=""),"",IF(I77&gt;F77,IF(OR(K77="Oui",'00_Parametres'!$B$29="Oui"),I77,F77),I77))</f>
      </c>
      <c r="N77" s="52">
        <f t="shared" si="9"/>
        <v>0</v>
      </c>
      <c r="O77" s="52">
        <f t="shared" si="10"/>
        <v>0</v>
      </c>
      <c r="P77" s="53">
        <f t="shared" si="11"/>
        <v>0</v>
      </c>
      <c r="Q77" s="53">
        <f>IF(P77=0,0,MIN(P77,'00_Parametres'!$B$23))</f>
        <v>0</v>
      </c>
      <c r="R77" s="53">
        <f>IF(P77=0,0,MAX(0,P77-'00_Parametres'!$B$23))</f>
        <v>0</v>
      </c>
      <c r="S77" s="26"/>
      <c r="T77" s="26"/>
      <c r="U77" s="40"/>
    </row>
    <row r="78" ht="15" customHeight="1" spans="1:21" x14ac:dyDescent="0.25">
      <c r="A78" s="46"/>
      <c r="B78" s="26"/>
      <c r="C78" s="41">
        <f>IF(B78="","",IFERROR(VLOOKUP(B78,Employes[[ID]:[Nom Complet]],4,FALSE()),""))</f>
      </c>
      <c r="D78" s="47">
        <f t="shared" si="8"/>
      </c>
      <c r="E78" s="48">
        <f>IF(A78="","",IFERROR(INDEX('00_Parametres'!$C$7:$C$13,WEEKDAY(A78,2)),""))</f>
      </c>
      <c r="F78" s="48">
        <f>IF(A78="","",IFERROR(INDEX('00_Parametres'!$D$7:$D$13,WEEKDAY(A78,2)),""))</f>
      </c>
      <c r="G78" s="49">
        <f>IF(A78="","",IFERROR(INDEX('00_Parametres'!$E$7:$E$13,WEEKDAY(A78,2)),0))</f>
      </c>
      <c r="H78" s="50"/>
      <c r="I78" s="50"/>
      <c r="J78" s="51" t="s">
        <v>70</v>
      </c>
      <c r="K78" s="51" t="s">
        <v>70</v>
      </c>
      <c r="L78" s="48">
        <f>IF(OR(A78="",H78=""),"",IF(H78&lt;E78,IF(OR(J78="Oui",'00_Parametres'!$B$28="Oui"),H78,E78),H78))</f>
      </c>
      <c r="M78" s="48">
        <f>IF(OR(A78="",I78=""),"",IF(I78&gt;F78,IF(OR(K78="Oui",'00_Parametres'!$B$29="Oui"),I78,F78),I78))</f>
      </c>
      <c r="N78" s="52">
        <f t="shared" si="9"/>
        <v>0</v>
      </c>
      <c r="O78" s="52">
        <f t="shared" si="10"/>
        <v>0</v>
      </c>
      <c r="P78" s="53">
        <f t="shared" si="11"/>
        <v>0</v>
      </c>
      <c r="Q78" s="53">
        <f>IF(P78=0,0,MIN(P78,'00_Parametres'!$B$23))</f>
        <v>0</v>
      </c>
      <c r="R78" s="53">
        <f>IF(P78=0,0,MAX(0,P78-'00_Parametres'!$B$23))</f>
        <v>0</v>
      </c>
      <c r="S78" s="26"/>
      <c r="T78" s="26"/>
      <c r="U78" s="40"/>
    </row>
    <row r="79" ht="15" customHeight="1" spans="1:21" x14ac:dyDescent="0.25">
      <c r="A79" s="46"/>
      <c r="B79" s="26"/>
      <c r="C79" s="41">
        <f>IF(B79="","",IFERROR(VLOOKUP(B79,Employes[[ID]:[Nom Complet]],4,FALSE()),""))</f>
      </c>
      <c r="D79" s="47">
        <f t="shared" si="8"/>
      </c>
      <c r="E79" s="48">
        <f>IF(A79="","",IFERROR(INDEX('00_Parametres'!$C$7:$C$13,WEEKDAY(A79,2)),""))</f>
      </c>
      <c r="F79" s="48">
        <f>IF(A79="","",IFERROR(INDEX('00_Parametres'!$D$7:$D$13,WEEKDAY(A79,2)),""))</f>
      </c>
      <c r="G79" s="49">
        <f>IF(A79="","",IFERROR(INDEX('00_Parametres'!$E$7:$E$13,WEEKDAY(A79,2)),0))</f>
      </c>
      <c r="H79" s="50"/>
      <c r="I79" s="50"/>
      <c r="J79" s="51" t="s">
        <v>70</v>
      </c>
      <c r="K79" s="51" t="s">
        <v>70</v>
      </c>
      <c r="L79" s="48">
        <f>IF(OR(A79="",H79=""),"",IF(H79&lt;E79,IF(OR(J79="Oui",'00_Parametres'!$B$28="Oui"),H79,E79),H79))</f>
      </c>
      <c r="M79" s="48">
        <f>IF(OR(A79="",I79=""),"",IF(I79&gt;F79,IF(OR(K79="Oui",'00_Parametres'!$B$29="Oui"),I79,F79),I79))</f>
      </c>
      <c r="N79" s="52">
        <f t="shared" si="9"/>
        <v>0</v>
      </c>
      <c r="O79" s="52">
        <f t="shared" si="10"/>
        <v>0</v>
      </c>
      <c r="P79" s="53">
        <f t="shared" si="11"/>
        <v>0</v>
      </c>
      <c r="Q79" s="53">
        <f>IF(P79=0,0,MIN(P79,'00_Parametres'!$B$23))</f>
        <v>0</v>
      </c>
      <c r="R79" s="53">
        <f>IF(P79=0,0,MAX(0,P79-'00_Parametres'!$B$23))</f>
        <v>0</v>
      </c>
      <c r="S79" s="26"/>
      <c r="T79" s="26"/>
      <c r="U79" s="40"/>
    </row>
    <row r="80" ht="15" customHeight="1" spans="1:21" x14ac:dyDescent="0.25">
      <c r="A80" s="46"/>
      <c r="B80" s="26"/>
      <c r="C80" s="41">
        <f>IF(B80="","",IFERROR(VLOOKUP(B80,Employes[[ID]:[Nom Complet]],4,FALSE()),""))</f>
      </c>
      <c r="D80" s="47">
        <f t="shared" si="8"/>
      </c>
      <c r="E80" s="48">
        <f>IF(A80="","",IFERROR(INDEX('00_Parametres'!$C$7:$C$13,WEEKDAY(A80,2)),""))</f>
      </c>
      <c r="F80" s="48">
        <f>IF(A80="","",IFERROR(INDEX('00_Parametres'!$D$7:$D$13,WEEKDAY(A80,2)),""))</f>
      </c>
      <c r="G80" s="49">
        <f>IF(A80="","",IFERROR(INDEX('00_Parametres'!$E$7:$E$13,WEEKDAY(A80,2)),0))</f>
      </c>
      <c r="H80" s="50"/>
      <c r="I80" s="50"/>
      <c r="J80" s="51" t="s">
        <v>70</v>
      </c>
      <c r="K80" s="51" t="s">
        <v>70</v>
      </c>
      <c r="L80" s="48">
        <f>IF(OR(A80="",H80=""),"",IF(H80&lt;E80,IF(OR(J80="Oui",'00_Parametres'!$B$28="Oui"),H80,E80),H80))</f>
      </c>
      <c r="M80" s="48">
        <f>IF(OR(A80="",I80=""),"",IF(I80&gt;F80,IF(OR(K80="Oui",'00_Parametres'!$B$29="Oui"),I80,F80),I80))</f>
      </c>
      <c r="N80" s="52">
        <f t="shared" si="9"/>
        <v>0</v>
      </c>
      <c r="O80" s="52">
        <f t="shared" si="10"/>
        <v>0</v>
      </c>
      <c r="P80" s="53">
        <f t="shared" si="11"/>
        <v>0</v>
      </c>
      <c r="Q80" s="53">
        <f>IF(P80=0,0,MIN(P80,'00_Parametres'!$B$23))</f>
        <v>0</v>
      </c>
      <c r="R80" s="53">
        <f>IF(P80=0,0,MAX(0,P80-'00_Parametres'!$B$23))</f>
        <v>0</v>
      </c>
      <c r="S80" s="26"/>
      <c r="T80" s="26"/>
      <c r="U80" s="40"/>
    </row>
    <row r="81" ht="15" customHeight="1" spans="1:21" x14ac:dyDescent="0.25">
      <c r="A81" s="46"/>
      <c r="B81" s="26"/>
      <c r="C81" s="41">
        <f>IF(B81="","",IFERROR(VLOOKUP(B81,Employes[[ID]:[Nom Complet]],4,FALSE()),""))</f>
      </c>
      <c r="D81" s="47">
        <f t="shared" si="8"/>
      </c>
      <c r="E81" s="48">
        <f>IF(A81="","",IFERROR(INDEX('00_Parametres'!$C$7:$C$13,WEEKDAY(A81,2)),""))</f>
      </c>
      <c r="F81" s="48">
        <f>IF(A81="","",IFERROR(INDEX('00_Parametres'!$D$7:$D$13,WEEKDAY(A81,2)),""))</f>
      </c>
      <c r="G81" s="49">
        <f>IF(A81="","",IFERROR(INDEX('00_Parametres'!$E$7:$E$13,WEEKDAY(A81,2)),0))</f>
      </c>
      <c r="H81" s="50"/>
      <c r="I81" s="50"/>
      <c r="J81" s="51" t="s">
        <v>70</v>
      </c>
      <c r="K81" s="51" t="s">
        <v>70</v>
      </c>
      <c r="L81" s="48">
        <f>IF(OR(A81="",H81=""),"",IF(H81&lt;E81,IF(OR(J81="Oui",'00_Parametres'!$B$28="Oui"),H81,E81),H81))</f>
      </c>
      <c r="M81" s="48">
        <f>IF(OR(A81="",I81=""),"",IF(I81&gt;F81,IF(OR(K81="Oui",'00_Parametres'!$B$29="Oui"),I81,F81),I81))</f>
      </c>
      <c r="N81" s="52">
        <f t="shared" si="9"/>
        <v>0</v>
      </c>
      <c r="O81" s="52">
        <f t="shared" si="10"/>
        <v>0</v>
      </c>
      <c r="P81" s="53">
        <f t="shared" si="11"/>
        <v>0</v>
      </c>
      <c r="Q81" s="53">
        <f>IF(P81=0,0,MIN(P81,'00_Parametres'!$B$23))</f>
        <v>0</v>
      </c>
      <c r="R81" s="53">
        <f>IF(P81=0,0,MAX(0,P81-'00_Parametres'!$B$23))</f>
        <v>0</v>
      </c>
      <c r="S81" s="26"/>
      <c r="T81" s="26"/>
      <c r="U81" s="40"/>
    </row>
    <row r="82" ht="15" customHeight="1" spans="1:21" x14ac:dyDescent="0.25">
      <c r="A82" s="46"/>
      <c r="B82" s="26"/>
      <c r="C82" s="41">
        <f>IF(B82="","",IFERROR(VLOOKUP(B82,Employes[[ID]:[Nom Complet]],4,FALSE()),""))</f>
      </c>
      <c r="D82" s="47">
        <f t="shared" si="8"/>
      </c>
      <c r="E82" s="48">
        <f>IF(A82="","",IFERROR(INDEX('00_Parametres'!$C$7:$C$13,WEEKDAY(A82,2)),""))</f>
      </c>
      <c r="F82" s="48">
        <f>IF(A82="","",IFERROR(INDEX('00_Parametres'!$D$7:$D$13,WEEKDAY(A82,2)),""))</f>
      </c>
      <c r="G82" s="49">
        <f>IF(A82="","",IFERROR(INDEX('00_Parametres'!$E$7:$E$13,WEEKDAY(A82,2)),0))</f>
      </c>
      <c r="H82" s="50"/>
      <c r="I82" s="50"/>
      <c r="J82" s="51" t="s">
        <v>70</v>
      </c>
      <c r="K82" s="51" t="s">
        <v>70</v>
      </c>
      <c r="L82" s="48">
        <f>IF(OR(A82="",H82=""),"",IF(H82&lt;E82,IF(OR(J82="Oui",'00_Parametres'!$B$28="Oui"),H82,E82),H82))</f>
      </c>
      <c r="M82" s="48">
        <f>IF(OR(A82="",I82=""),"",IF(I82&gt;F82,IF(OR(K82="Oui",'00_Parametres'!$B$29="Oui"),I82,F82),I82))</f>
      </c>
      <c r="N82" s="52">
        <f t="shared" si="9"/>
        <v>0</v>
      </c>
      <c r="O82" s="52">
        <f t="shared" si="10"/>
        <v>0</v>
      </c>
      <c r="P82" s="53">
        <f t="shared" si="11"/>
        <v>0</v>
      </c>
      <c r="Q82" s="53">
        <f>IF(P82=0,0,MIN(P82,'00_Parametres'!$B$23))</f>
        <v>0</v>
      </c>
      <c r="R82" s="53">
        <f>IF(P82=0,0,MAX(0,P82-'00_Parametres'!$B$23))</f>
        <v>0</v>
      </c>
      <c r="S82" s="26"/>
      <c r="T82" s="26"/>
      <c r="U82" s="40"/>
    </row>
    <row r="83" ht="15" customHeight="1" spans="1:21" x14ac:dyDescent="0.25">
      <c r="A83" s="46"/>
      <c r="B83" s="26"/>
      <c r="C83" s="41">
        <f>IF(B83="","",IFERROR(VLOOKUP(B83,Employes[[ID]:[Nom Complet]],4,FALSE()),""))</f>
      </c>
      <c r="D83" s="47">
        <f t="shared" si="8"/>
      </c>
      <c r="E83" s="48">
        <f>IF(A83="","",IFERROR(INDEX('00_Parametres'!$C$7:$C$13,WEEKDAY(A83,2)),""))</f>
      </c>
      <c r="F83" s="48">
        <f>IF(A83="","",IFERROR(INDEX('00_Parametres'!$D$7:$D$13,WEEKDAY(A83,2)),""))</f>
      </c>
      <c r="G83" s="49">
        <f>IF(A83="","",IFERROR(INDEX('00_Parametres'!$E$7:$E$13,WEEKDAY(A83,2)),0))</f>
      </c>
      <c r="H83" s="50"/>
      <c r="I83" s="50"/>
      <c r="J83" s="51" t="s">
        <v>70</v>
      </c>
      <c r="K83" s="51" t="s">
        <v>70</v>
      </c>
      <c r="L83" s="48">
        <f>IF(OR(A83="",H83=""),"",IF(H83&lt;E83,IF(OR(J83="Oui",'00_Parametres'!$B$28="Oui"),H83,E83),H83))</f>
      </c>
      <c r="M83" s="48">
        <f>IF(OR(A83="",I83=""),"",IF(I83&gt;F83,IF(OR(K83="Oui",'00_Parametres'!$B$29="Oui"),I83,F83),I83))</f>
      </c>
      <c r="N83" s="52">
        <f t="shared" si="9"/>
        <v>0</v>
      </c>
      <c r="O83" s="52">
        <f t="shared" si="10"/>
        <v>0</v>
      </c>
      <c r="P83" s="53">
        <f t="shared" si="11"/>
        <v>0</v>
      </c>
      <c r="Q83" s="53">
        <f>IF(P83=0,0,MIN(P83,'00_Parametres'!$B$23))</f>
        <v>0</v>
      </c>
      <c r="R83" s="53">
        <f>IF(P83=0,0,MAX(0,P83-'00_Parametres'!$B$23))</f>
        <v>0</v>
      </c>
      <c r="S83" s="26"/>
      <c r="T83" s="26"/>
      <c r="U83" s="40"/>
    </row>
    <row r="84" ht="15" customHeight="1" spans="1:21" x14ac:dyDescent="0.25">
      <c r="A84" s="46"/>
      <c r="B84" s="26"/>
      <c r="C84" s="41">
        <f>IF(B84="","",IFERROR(VLOOKUP(B84,Employes[[ID]:[Nom Complet]],4,FALSE()),""))</f>
      </c>
      <c r="D84" s="47">
        <f t="shared" si="8"/>
      </c>
      <c r="E84" s="48">
        <f>IF(A84="","",IFERROR(INDEX('00_Parametres'!$C$7:$C$13,WEEKDAY(A84,2)),""))</f>
      </c>
      <c r="F84" s="48">
        <f>IF(A84="","",IFERROR(INDEX('00_Parametres'!$D$7:$D$13,WEEKDAY(A84,2)),""))</f>
      </c>
      <c r="G84" s="49">
        <f>IF(A84="","",IFERROR(INDEX('00_Parametres'!$E$7:$E$13,WEEKDAY(A84,2)),0))</f>
      </c>
      <c r="H84" s="50"/>
      <c r="I84" s="50"/>
      <c r="J84" s="51" t="s">
        <v>70</v>
      </c>
      <c r="K84" s="51" t="s">
        <v>70</v>
      </c>
      <c r="L84" s="48">
        <f>IF(OR(A84="",H84=""),"",IF(H84&lt;E84,IF(OR(J84="Oui",'00_Parametres'!$B$28="Oui"),H84,E84),H84))</f>
      </c>
      <c r="M84" s="48">
        <f>IF(OR(A84="",I84=""),"",IF(I84&gt;F84,IF(OR(K84="Oui",'00_Parametres'!$B$29="Oui"),I84,F84),I84))</f>
      </c>
      <c r="N84" s="52">
        <f t="shared" si="9"/>
        <v>0</v>
      </c>
      <c r="O84" s="52">
        <f t="shared" si="10"/>
        <v>0</v>
      </c>
      <c r="P84" s="53">
        <f t="shared" si="11"/>
        <v>0</v>
      </c>
      <c r="Q84" s="53">
        <f>IF(P84=0,0,MIN(P84,'00_Parametres'!$B$23))</f>
        <v>0</v>
      </c>
      <c r="R84" s="53">
        <f>IF(P84=0,0,MAX(0,P84-'00_Parametres'!$B$23))</f>
        <v>0</v>
      </c>
      <c r="S84" s="26"/>
      <c r="T84" s="26"/>
      <c r="U84" s="40"/>
    </row>
    <row r="85" ht="15" customHeight="1" spans="1:21" x14ac:dyDescent="0.25">
      <c r="A85" s="46"/>
      <c r="B85" s="26"/>
      <c r="C85" s="41">
        <f>IF(B85="","",IFERROR(VLOOKUP(B85,Employes[[ID]:[Nom Complet]],4,FALSE()),""))</f>
      </c>
      <c r="D85" s="47">
        <f t="shared" si="8"/>
      </c>
      <c r="E85" s="48">
        <f>IF(A85="","",IFERROR(INDEX('00_Parametres'!$C$7:$C$13,WEEKDAY(A85,2)),""))</f>
      </c>
      <c r="F85" s="48">
        <f>IF(A85="","",IFERROR(INDEX('00_Parametres'!$D$7:$D$13,WEEKDAY(A85,2)),""))</f>
      </c>
      <c r="G85" s="49">
        <f>IF(A85="","",IFERROR(INDEX('00_Parametres'!$E$7:$E$13,WEEKDAY(A85,2)),0))</f>
      </c>
      <c r="H85" s="50"/>
      <c r="I85" s="50"/>
      <c r="J85" s="51" t="s">
        <v>70</v>
      </c>
      <c r="K85" s="51" t="s">
        <v>70</v>
      </c>
      <c r="L85" s="48">
        <f>IF(OR(A85="",H85=""),"",IF(H85&lt;E85,IF(OR(J85="Oui",'00_Parametres'!$B$28="Oui"),H85,E85),H85))</f>
      </c>
      <c r="M85" s="48">
        <f>IF(OR(A85="",I85=""),"",IF(I85&gt;F85,IF(OR(K85="Oui",'00_Parametres'!$B$29="Oui"),I85,F85),I85))</f>
      </c>
      <c r="N85" s="52">
        <f t="shared" si="9"/>
        <v>0</v>
      </c>
      <c r="O85" s="52">
        <f t="shared" si="10"/>
        <v>0</v>
      </c>
      <c r="P85" s="53">
        <f t="shared" si="11"/>
        <v>0</v>
      </c>
      <c r="Q85" s="53">
        <f>IF(P85=0,0,MIN(P85,'00_Parametres'!$B$23))</f>
        <v>0</v>
      </c>
      <c r="R85" s="53">
        <f>IF(P85=0,0,MAX(0,P85-'00_Parametres'!$B$23))</f>
        <v>0</v>
      </c>
      <c r="S85" s="26"/>
      <c r="T85" s="26"/>
      <c r="U85" s="40"/>
    </row>
    <row r="86" ht="15" customHeight="1" spans="1:21" x14ac:dyDescent="0.25">
      <c r="A86" s="46"/>
      <c r="B86" s="26"/>
      <c r="C86" s="41">
        <f>IF(B86="","",IFERROR(VLOOKUP(B86,Employes[[ID]:[Nom Complet]],4,FALSE()),""))</f>
      </c>
      <c r="D86" s="47">
        <f t="shared" si="8"/>
      </c>
      <c r="E86" s="48">
        <f>IF(A86="","",IFERROR(INDEX('00_Parametres'!$C$7:$C$13,WEEKDAY(A86,2)),""))</f>
      </c>
      <c r="F86" s="48">
        <f>IF(A86="","",IFERROR(INDEX('00_Parametres'!$D$7:$D$13,WEEKDAY(A86,2)),""))</f>
      </c>
      <c r="G86" s="49">
        <f>IF(A86="","",IFERROR(INDEX('00_Parametres'!$E$7:$E$13,WEEKDAY(A86,2)),0))</f>
      </c>
      <c r="H86" s="50"/>
      <c r="I86" s="50"/>
      <c r="J86" s="51" t="s">
        <v>70</v>
      </c>
      <c r="K86" s="51" t="s">
        <v>70</v>
      </c>
      <c r="L86" s="48">
        <f>IF(OR(A86="",H86=""),"",IF(H86&lt;E86,IF(OR(J86="Oui",'00_Parametres'!$B$28="Oui"),H86,E86),H86))</f>
      </c>
      <c r="M86" s="48">
        <f>IF(OR(A86="",I86=""),"",IF(I86&gt;F86,IF(OR(K86="Oui",'00_Parametres'!$B$29="Oui"),I86,F86),I86))</f>
      </c>
      <c r="N86" s="52">
        <f t="shared" si="9"/>
        <v>0</v>
      </c>
      <c r="O86" s="52">
        <f t="shared" si="10"/>
        <v>0</v>
      </c>
      <c r="P86" s="53">
        <f t="shared" si="11"/>
        <v>0</v>
      </c>
      <c r="Q86" s="53">
        <f>IF(P86=0,0,MIN(P86,'00_Parametres'!$B$23))</f>
        <v>0</v>
      </c>
      <c r="R86" s="53">
        <f>IF(P86=0,0,MAX(0,P86-'00_Parametres'!$B$23))</f>
        <v>0</v>
      </c>
      <c r="S86" s="26"/>
      <c r="T86" s="26"/>
      <c r="U86" s="40"/>
    </row>
    <row r="87" ht="15" customHeight="1" spans="1:21" x14ac:dyDescent="0.25">
      <c r="A87" s="46"/>
      <c r="B87" s="26"/>
      <c r="C87" s="41">
        <f>IF(B87="","",IFERROR(VLOOKUP(B87,Employes[[ID]:[Nom Complet]],4,FALSE()),""))</f>
      </c>
      <c r="D87" s="47">
        <f t="shared" si="8"/>
      </c>
      <c r="E87" s="48">
        <f>IF(A87="","",IFERROR(INDEX('00_Parametres'!$C$7:$C$13,WEEKDAY(A87,2)),""))</f>
      </c>
      <c r="F87" s="48">
        <f>IF(A87="","",IFERROR(INDEX('00_Parametres'!$D$7:$D$13,WEEKDAY(A87,2)),""))</f>
      </c>
      <c r="G87" s="49">
        <f>IF(A87="","",IFERROR(INDEX('00_Parametres'!$E$7:$E$13,WEEKDAY(A87,2)),0))</f>
      </c>
      <c r="H87" s="50"/>
      <c r="I87" s="50"/>
      <c r="J87" s="51" t="s">
        <v>70</v>
      </c>
      <c r="K87" s="51" t="s">
        <v>70</v>
      </c>
      <c r="L87" s="48">
        <f>IF(OR(A87="",H87=""),"",IF(H87&lt;E87,IF(OR(J87="Oui",'00_Parametres'!$B$28="Oui"),H87,E87),H87))</f>
      </c>
      <c r="M87" s="48">
        <f>IF(OR(A87="",I87=""),"",IF(I87&gt;F87,IF(OR(K87="Oui",'00_Parametres'!$B$29="Oui"),I87,F87),I87))</f>
      </c>
      <c r="N87" s="52">
        <f t="shared" si="9"/>
        <v>0</v>
      </c>
      <c r="O87" s="52">
        <f t="shared" si="10"/>
        <v>0</v>
      </c>
      <c r="P87" s="53">
        <f t="shared" si="11"/>
        <v>0</v>
      </c>
      <c r="Q87" s="53">
        <f>IF(P87=0,0,MIN(P87,'00_Parametres'!$B$23))</f>
        <v>0</v>
      </c>
      <c r="R87" s="53">
        <f>IF(P87=0,0,MAX(0,P87-'00_Parametres'!$B$23))</f>
        <v>0</v>
      </c>
      <c r="S87" s="26"/>
      <c r="T87" s="26"/>
      <c r="U87" s="40"/>
    </row>
    <row r="88" ht="15" customHeight="1" spans="1:21" x14ac:dyDescent="0.25">
      <c r="A88" s="46"/>
      <c r="B88" s="26"/>
      <c r="C88" s="41">
        <f>IF(B88="","",IFERROR(VLOOKUP(B88,Employes[[ID]:[Nom Complet]],4,FALSE()),""))</f>
      </c>
      <c r="D88" s="47">
        <f t="shared" si="8"/>
      </c>
      <c r="E88" s="48">
        <f>IF(A88="","",IFERROR(INDEX('00_Parametres'!$C$7:$C$13,WEEKDAY(A88,2)),""))</f>
      </c>
      <c r="F88" s="48">
        <f>IF(A88="","",IFERROR(INDEX('00_Parametres'!$D$7:$D$13,WEEKDAY(A88,2)),""))</f>
      </c>
      <c r="G88" s="49">
        <f>IF(A88="","",IFERROR(INDEX('00_Parametres'!$E$7:$E$13,WEEKDAY(A88,2)),0))</f>
      </c>
      <c r="H88" s="50"/>
      <c r="I88" s="50"/>
      <c r="J88" s="51" t="s">
        <v>70</v>
      </c>
      <c r="K88" s="51" t="s">
        <v>70</v>
      </c>
      <c r="L88" s="48">
        <f>IF(OR(A88="",H88=""),"",IF(H88&lt;E88,IF(OR(J88="Oui",'00_Parametres'!$B$28="Oui"),H88,E88),H88))</f>
      </c>
      <c r="M88" s="48">
        <f>IF(OR(A88="",I88=""),"",IF(I88&gt;F88,IF(OR(K88="Oui",'00_Parametres'!$B$29="Oui"),I88,F88),I88))</f>
      </c>
      <c r="N88" s="52">
        <f t="shared" si="9"/>
        <v>0</v>
      </c>
      <c r="O88" s="52">
        <f t="shared" si="10"/>
        <v>0</v>
      </c>
      <c r="P88" s="53">
        <f t="shared" si="11"/>
        <v>0</v>
      </c>
      <c r="Q88" s="53">
        <f>IF(P88=0,0,MIN(P88,'00_Parametres'!$B$23))</f>
        <v>0</v>
      </c>
      <c r="R88" s="53">
        <f>IF(P88=0,0,MAX(0,P88-'00_Parametres'!$B$23))</f>
        <v>0</v>
      </c>
      <c r="S88" s="26"/>
      <c r="T88" s="26"/>
      <c r="U88" s="40"/>
    </row>
    <row r="89" ht="15" customHeight="1" spans="1:21" x14ac:dyDescent="0.25">
      <c r="A89" s="46"/>
      <c r="B89" s="26"/>
      <c r="C89" s="41">
        <f>IF(B89="","",IFERROR(VLOOKUP(B89,Employes[[ID]:[Nom Complet]],4,FALSE()),""))</f>
      </c>
      <c r="D89" s="47">
        <f t="shared" si="8"/>
      </c>
      <c r="E89" s="48">
        <f>IF(A89="","",IFERROR(INDEX('00_Parametres'!$C$7:$C$13,WEEKDAY(A89,2)),""))</f>
      </c>
      <c r="F89" s="48">
        <f>IF(A89="","",IFERROR(INDEX('00_Parametres'!$D$7:$D$13,WEEKDAY(A89,2)),""))</f>
      </c>
      <c r="G89" s="49">
        <f>IF(A89="","",IFERROR(INDEX('00_Parametres'!$E$7:$E$13,WEEKDAY(A89,2)),0))</f>
      </c>
      <c r="H89" s="50"/>
      <c r="I89" s="50"/>
      <c r="J89" s="51" t="s">
        <v>70</v>
      </c>
      <c r="K89" s="51" t="s">
        <v>70</v>
      </c>
      <c r="L89" s="48">
        <f>IF(OR(A89="",H89=""),"",IF(H89&lt;E89,IF(OR(J89="Oui",'00_Parametres'!$B$28="Oui"),H89,E89),H89))</f>
      </c>
      <c r="M89" s="48">
        <f>IF(OR(A89="",I89=""),"",IF(I89&gt;F89,IF(OR(K89="Oui",'00_Parametres'!$B$29="Oui"),I89,F89),I89))</f>
      </c>
      <c r="N89" s="52">
        <f t="shared" si="9"/>
        <v>0</v>
      </c>
      <c r="O89" s="52">
        <f t="shared" si="10"/>
        <v>0</v>
      </c>
      <c r="P89" s="53">
        <f t="shared" si="11"/>
        <v>0</v>
      </c>
      <c r="Q89" s="53">
        <f>IF(P89=0,0,MIN(P89,'00_Parametres'!$B$23))</f>
        <v>0</v>
      </c>
      <c r="R89" s="53">
        <f>IF(P89=0,0,MAX(0,P89-'00_Parametres'!$B$23))</f>
        <v>0</v>
      </c>
      <c r="S89" s="26"/>
      <c r="T89" s="26"/>
      <c r="U89" s="40"/>
    </row>
    <row r="90" ht="15" customHeight="1" spans="1:21" x14ac:dyDescent="0.25">
      <c r="A90" s="46"/>
      <c r="B90" s="26"/>
      <c r="C90" s="41">
        <f>IF(B90="","",IFERROR(VLOOKUP(B90,Employes[[ID]:[Nom Complet]],4,FALSE()),""))</f>
      </c>
      <c r="D90" s="47">
        <f t="shared" si="8"/>
      </c>
      <c r="E90" s="48">
        <f>IF(A90="","",IFERROR(INDEX('00_Parametres'!$C$7:$C$13,WEEKDAY(A90,2)),""))</f>
      </c>
      <c r="F90" s="48">
        <f>IF(A90="","",IFERROR(INDEX('00_Parametres'!$D$7:$D$13,WEEKDAY(A90,2)),""))</f>
      </c>
      <c r="G90" s="49">
        <f>IF(A90="","",IFERROR(INDEX('00_Parametres'!$E$7:$E$13,WEEKDAY(A90,2)),0))</f>
      </c>
      <c r="H90" s="50"/>
      <c r="I90" s="50"/>
      <c r="J90" s="51" t="s">
        <v>70</v>
      </c>
      <c r="K90" s="51" t="s">
        <v>70</v>
      </c>
      <c r="L90" s="48">
        <f>IF(OR(A90="",H90=""),"",IF(H90&lt;E90,IF(OR(J90="Oui",'00_Parametres'!$B$28="Oui"),H90,E90),H90))</f>
      </c>
      <c r="M90" s="48">
        <f>IF(OR(A90="",I90=""),"",IF(I90&gt;F90,IF(OR(K90="Oui",'00_Parametres'!$B$29="Oui"),I90,F90),I90))</f>
      </c>
      <c r="N90" s="52">
        <f t="shared" si="9"/>
        <v>0</v>
      </c>
      <c r="O90" s="52">
        <f t="shared" si="10"/>
        <v>0</v>
      </c>
      <c r="P90" s="53">
        <f t="shared" si="11"/>
        <v>0</v>
      </c>
      <c r="Q90" s="53">
        <f>IF(P90=0,0,MIN(P90,'00_Parametres'!$B$23))</f>
        <v>0</v>
      </c>
      <c r="R90" s="53">
        <f>IF(P90=0,0,MAX(0,P90-'00_Parametres'!$B$23))</f>
        <v>0</v>
      </c>
      <c r="S90" s="26"/>
      <c r="T90" s="26"/>
      <c r="U90" s="40"/>
    </row>
    <row r="91" ht="15" customHeight="1" spans="1:21" x14ac:dyDescent="0.25">
      <c r="A91" s="46"/>
      <c r="B91" s="26"/>
      <c r="C91" s="41">
        <f>IF(B91="","",IFERROR(VLOOKUP(B91,Employes[[ID]:[Nom Complet]],4,FALSE()),""))</f>
      </c>
      <c r="D91" s="47">
        <f t="shared" si="8"/>
      </c>
      <c r="E91" s="48">
        <f>IF(A91="","",IFERROR(INDEX('00_Parametres'!$C$7:$C$13,WEEKDAY(A91,2)),""))</f>
      </c>
      <c r="F91" s="48">
        <f>IF(A91="","",IFERROR(INDEX('00_Parametres'!$D$7:$D$13,WEEKDAY(A91,2)),""))</f>
      </c>
      <c r="G91" s="49">
        <f>IF(A91="","",IFERROR(INDEX('00_Parametres'!$E$7:$E$13,WEEKDAY(A91,2)),0))</f>
      </c>
      <c r="H91" s="50"/>
      <c r="I91" s="50"/>
      <c r="J91" s="51" t="s">
        <v>70</v>
      </c>
      <c r="K91" s="51" t="s">
        <v>70</v>
      </c>
      <c r="L91" s="48">
        <f>IF(OR(A91="",H91=""),"",IF(H91&lt;E91,IF(OR(J91="Oui",'00_Parametres'!$B$28="Oui"),H91,E91),H91))</f>
      </c>
      <c r="M91" s="48">
        <f>IF(OR(A91="",I91=""),"",IF(I91&gt;F91,IF(OR(K91="Oui",'00_Parametres'!$B$29="Oui"),I91,F91),I91))</f>
      </c>
      <c r="N91" s="52">
        <f t="shared" si="9"/>
        <v>0</v>
      </c>
      <c r="O91" s="52">
        <f t="shared" si="10"/>
        <v>0</v>
      </c>
      <c r="P91" s="53">
        <f t="shared" si="11"/>
        <v>0</v>
      </c>
      <c r="Q91" s="53">
        <f>IF(P91=0,0,MIN(P91,'00_Parametres'!$B$23))</f>
        <v>0</v>
      </c>
      <c r="R91" s="53">
        <f>IF(P91=0,0,MAX(0,P91-'00_Parametres'!$B$23))</f>
        <v>0</v>
      </c>
      <c r="S91" s="26"/>
      <c r="T91" s="26"/>
      <c r="U91" s="40"/>
    </row>
    <row r="92" ht="15" customHeight="1" spans="1:21" x14ac:dyDescent="0.25">
      <c r="A92" s="46"/>
      <c r="B92" s="26"/>
      <c r="C92" s="41">
        <f>IF(B92="","",IFERROR(VLOOKUP(B92,Employes[[ID]:[Nom Complet]],4,FALSE()),""))</f>
      </c>
      <c r="D92" s="47">
        <f t="shared" si="8"/>
      </c>
      <c r="E92" s="48">
        <f>IF(A92="","",IFERROR(INDEX('00_Parametres'!$C$7:$C$13,WEEKDAY(A92,2)),""))</f>
      </c>
      <c r="F92" s="48">
        <f>IF(A92="","",IFERROR(INDEX('00_Parametres'!$D$7:$D$13,WEEKDAY(A92,2)),""))</f>
      </c>
      <c r="G92" s="49">
        <f>IF(A92="","",IFERROR(INDEX('00_Parametres'!$E$7:$E$13,WEEKDAY(A92,2)),0))</f>
      </c>
      <c r="H92" s="50"/>
      <c r="I92" s="50"/>
      <c r="J92" s="51" t="s">
        <v>70</v>
      </c>
      <c r="K92" s="51" t="s">
        <v>70</v>
      </c>
      <c r="L92" s="48">
        <f>IF(OR(A92="",H92=""),"",IF(H92&lt;E92,IF(OR(J92="Oui",'00_Parametres'!$B$28="Oui"),H92,E92),H92))</f>
      </c>
      <c r="M92" s="48">
        <f>IF(OR(A92="",I92=""),"",IF(I92&gt;F92,IF(OR(K92="Oui",'00_Parametres'!$B$29="Oui"),I92,F92),I92))</f>
      </c>
      <c r="N92" s="52">
        <f t="shared" si="9"/>
        <v>0</v>
      </c>
      <c r="O92" s="52">
        <f t="shared" si="10"/>
        <v>0</v>
      </c>
      <c r="P92" s="53">
        <f t="shared" si="11"/>
        <v>0</v>
      </c>
      <c r="Q92" s="53">
        <f>IF(P92=0,0,MIN(P92,'00_Parametres'!$B$23))</f>
        <v>0</v>
      </c>
      <c r="R92" s="53">
        <f>IF(P92=0,0,MAX(0,P92-'00_Parametres'!$B$23))</f>
        <v>0</v>
      </c>
      <c r="S92" s="26"/>
      <c r="T92" s="26"/>
      <c r="U92" s="40"/>
    </row>
    <row r="93" ht="15" customHeight="1" spans="1:21" x14ac:dyDescent="0.25">
      <c r="A93" s="46"/>
      <c r="B93" s="26"/>
      <c r="C93" s="41">
        <f>IF(B93="","",IFERROR(VLOOKUP(B93,Employes[[ID]:[Nom Complet]],4,FALSE()),""))</f>
      </c>
      <c r="D93" s="47">
        <f t="shared" si="8"/>
      </c>
      <c r="E93" s="48">
        <f>IF(A93="","",IFERROR(INDEX('00_Parametres'!$C$7:$C$13,WEEKDAY(A93,2)),""))</f>
      </c>
      <c r="F93" s="48">
        <f>IF(A93="","",IFERROR(INDEX('00_Parametres'!$D$7:$D$13,WEEKDAY(A93,2)),""))</f>
      </c>
      <c r="G93" s="49">
        <f>IF(A93="","",IFERROR(INDEX('00_Parametres'!$E$7:$E$13,WEEKDAY(A93,2)),0))</f>
      </c>
      <c r="H93" s="50"/>
      <c r="I93" s="50"/>
      <c r="J93" s="51" t="s">
        <v>70</v>
      </c>
      <c r="K93" s="51" t="s">
        <v>70</v>
      </c>
      <c r="L93" s="48">
        <f>IF(OR(A93="",H93=""),"",IF(H93&lt;E93,IF(OR(J93="Oui",'00_Parametres'!$B$28="Oui"),H93,E93),H93))</f>
      </c>
      <c r="M93" s="48">
        <f>IF(OR(A93="",I93=""),"",IF(I93&gt;F93,IF(OR(K93="Oui",'00_Parametres'!$B$29="Oui"),I93,F93),I93))</f>
      </c>
      <c r="N93" s="52">
        <f t="shared" si="9"/>
        <v>0</v>
      </c>
      <c r="O93" s="52">
        <f t="shared" si="10"/>
        <v>0</v>
      </c>
      <c r="P93" s="53">
        <f t="shared" si="11"/>
        <v>0</v>
      </c>
      <c r="Q93" s="53">
        <f>IF(P93=0,0,MIN(P93,'00_Parametres'!$B$23))</f>
        <v>0</v>
      </c>
      <c r="R93" s="53">
        <f>IF(P93=0,0,MAX(0,P93-'00_Parametres'!$B$23))</f>
        <v>0</v>
      </c>
      <c r="S93" s="26"/>
      <c r="T93" s="26"/>
      <c r="U93" s="40"/>
    </row>
    <row r="94" ht="15" customHeight="1" spans="1:21" x14ac:dyDescent="0.25">
      <c r="A94" s="46"/>
      <c r="B94" s="26"/>
      <c r="C94" s="41">
        <f>IF(B94="","",IFERROR(VLOOKUP(B94,Employes[[ID]:[Nom Complet]],4,FALSE()),""))</f>
      </c>
      <c r="D94" s="47">
        <f t="shared" si="8"/>
      </c>
      <c r="E94" s="48">
        <f>IF(A94="","",IFERROR(INDEX('00_Parametres'!$C$7:$C$13,WEEKDAY(A94,2)),""))</f>
      </c>
      <c r="F94" s="48">
        <f>IF(A94="","",IFERROR(INDEX('00_Parametres'!$D$7:$D$13,WEEKDAY(A94,2)),""))</f>
      </c>
      <c r="G94" s="49">
        <f>IF(A94="","",IFERROR(INDEX('00_Parametres'!$E$7:$E$13,WEEKDAY(A94,2)),0))</f>
      </c>
      <c r="H94" s="50"/>
      <c r="I94" s="50"/>
      <c r="J94" s="51" t="s">
        <v>70</v>
      </c>
      <c r="K94" s="51" t="s">
        <v>70</v>
      </c>
      <c r="L94" s="48">
        <f>IF(OR(A94="",H94=""),"",IF(H94&lt;E94,IF(OR(J94="Oui",'00_Parametres'!$B$28="Oui"),H94,E94),H94))</f>
      </c>
      <c r="M94" s="48">
        <f>IF(OR(A94="",I94=""),"",IF(I94&gt;F94,IF(OR(K94="Oui",'00_Parametres'!$B$29="Oui"),I94,F94),I94))</f>
      </c>
      <c r="N94" s="52">
        <f t="shared" si="9"/>
        <v>0</v>
      </c>
      <c r="O94" s="52">
        <f t="shared" si="10"/>
        <v>0</v>
      </c>
      <c r="P94" s="53">
        <f t="shared" si="11"/>
        <v>0</v>
      </c>
      <c r="Q94" s="53">
        <f>IF(P94=0,0,MIN(P94,'00_Parametres'!$B$23))</f>
        <v>0</v>
      </c>
      <c r="R94" s="53">
        <f>IF(P94=0,0,MAX(0,P94-'00_Parametres'!$B$23))</f>
        <v>0</v>
      </c>
      <c r="S94" s="26"/>
      <c r="T94" s="26"/>
      <c r="U94" s="40"/>
    </row>
    <row r="95" ht="15" customHeight="1" spans="1:21" x14ac:dyDescent="0.25">
      <c r="A95" s="46"/>
      <c r="B95" s="26"/>
      <c r="C95" s="41">
        <f>IF(B95="","",IFERROR(VLOOKUP(B95,Employes[[ID]:[Nom Complet]],4,FALSE()),""))</f>
      </c>
      <c r="D95" s="47">
        <f t="shared" si="8"/>
      </c>
      <c r="E95" s="48">
        <f>IF(A95="","",IFERROR(INDEX('00_Parametres'!$C$7:$C$13,WEEKDAY(A95,2)),""))</f>
      </c>
      <c r="F95" s="48">
        <f>IF(A95="","",IFERROR(INDEX('00_Parametres'!$D$7:$D$13,WEEKDAY(A95,2)),""))</f>
      </c>
      <c r="G95" s="49">
        <f>IF(A95="","",IFERROR(INDEX('00_Parametres'!$E$7:$E$13,WEEKDAY(A95,2)),0))</f>
      </c>
      <c r="H95" s="50"/>
      <c r="I95" s="50"/>
      <c r="J95" s="51" t="s">
        <v>70</v>
      </c>
      <c r="K95" s="51" t="s">
        <v>70</v>
      </c>
      <c r="L95" s="48">
        <f>IF(OR(A95="",H95=""),"",IF(H95&lt;E95,IF(OR(J95="Oui",'00_Parametres'!$B$28="Oui"),H95,E95),H95))</f>
      </c>
      <c r="M95" s="48">
        <f>IF(OR(A95="",I95=""),"",IF(I95&gt;F95,IF(OR(K95="Oui",'00_Parametres'!$B$29="Oui"),I95,F95),I95))</f>
      </c>
      <c r="N95" s="52">
        <f t="shared" si="9"/>
        <v>0</v>
      </c>
      <c r="O95" s="52">
        <f t="shared" si="10"/>
        <v>0</v>
      </c>
      <c r="P95" s="53">
        <f t="shared" si="11"/>
        <v>0</v>
      </c>
      <c r="Q95" s="53">
        <f>IF(P95=0,0,MIN(P95,'00_Parametres'!$B$23))</f>
        <v>0</v>
      </c>
      <c r="R95" s="53">
        <f>IF(P95=0,0,MAX(0,P95-'00_Parametres'!$B$23))</f>
        <v>0</v>
      </c>
      <c r="S95" s="26"/>
      <c r="T95" s="26"/>
      <c r="U95" s="40"/>
    </row>
    <row r="96" ht="15" customHeight="1" spans="1:21" x14ac:dyDescent="0.25">
      <c r="A96" s="46"/>
      <c r="B96" s="26"/>
      <c r="C96" s="41">
        <f>IF(B96="","",IFERROR(VLOOKUP(B96,Employes[[ID]:[Nom Complet]],4,FALSE()),""))</f>
      </c>
      <c r="D96" s="47">
        <f t="shared" si="8"/>
      </c>
      <c r="E96" s="48">
        <f>IF(A96="","",IFERROR(INDEX('00_Parametres'!$C$7:$C$13,WEEKDAY(A96,2)),""))</f>
      </c>
      <c r="F96" s="48">
        <f>IF(A96="","",IFERROR(INDEX('00_Parametres'!$D$7:$D$13,WEEKDAY(A96,2)),""))</f>
      </c>
      <c r="G96" s="49">
        <f>IF(A96="","",IFERROR(INDEX('00_Parametres'!$E$7:$E$13,WEEKDAY(A96,2)),0))</f>
      </c>
      <c r="H96" s="50"/>
      <c r="I96" s="50"/>
      <c r="J96" s="51" t="s">
        <v>70</v>
      </c>
      <c r="K96" s="51" t="s">
        <v>70</v>
      </c>
      <c r="L96" s="48">
        <f>IF(OR(A96="",H96=""),"",IF(H96&lt;E96,IF(OR(J96="Oui",'00_Parametres'!$B$28="Oui"),H96,E96),H96))</f>
      </c>
      <c r="M96" s="48">
        <f>IF(OR(A96="",I96=""),"",IF(I96&gt;F96,IF(OR(K96="Oui",'00_Parametres'!$B$29="Oui"),I96,F96),I96))</f>
      </c>
      <c r="N96" s="52">
        <f t="shared" si="9"/>
        <v>0</v>
      </c>
      <c r="O96" s="52">
        <f t="shared" si="10"/>
        <v>0</v>
      </c>
      <c r="P96" s="53">
        <f t="shared" si="11"/>
        <v>0</v>
      </c>
      <c r="Q96" s="53">
        <f>IF(P96=0,0,MIN(P96,'00_Parametres'!$B$23))</f>
        <v>0</v>
      </c>
      <c r="R96" s="53">
        <f>IF(P96=0,0,MAX(0,P96-'00_Parametres'!$B$23))</f>
        <v>0</v>
      </c>
      <c r="S96" s="26"/>
      <c r="T96" s="26"/>
      <c r="U96" s="40"/>
    </row>
    <row r="97" ht="15" customHeight="1" spans="1:21" x14ac:dyDescent="0.25">
      <c r="A97" s="46"/>
      <c r="B97" s="26"/>
      <c r="C97" s="41">
        <f>IF(B97="","",IFERROR(VLOOKUP(B97,Employes[[ID]:[Nom Complet]],4,FALSE()),""))</f>
      </c>
      <c r="D97" s="47">
        <f t="shared" si="8"/>
      </c>
      <c r="E97" s="48">
        <f>IF(A97="","",IFERROR(INDEX('00_Parametres'!$C$7:$C$13,WEEKDAY(A97,2)),""))</f>
      </c>
      <c r="F97" s="48">
        <f>IF(A97="","",IFERROR(INDEX('00_Parametres'!$D$7:$D$13,WEEKDAY(A97,2)),""))</f>
      </c>
      <c r="G97" s="49">
        <f>IF(A97="","",IFERROR(INDEX('00_Parametres'!$E$7:$E$13,WEEKDAY(A97,2)),0))</f>
      </c>
      <c r="H97" s="50"/>
      <c r="I97" s="50"/>
      <c r="J97" s="51" t="s">
        <v>70</v>
      </c>
      <c r="K97" s="51" t="s">
        <v>70</v>
      </c>
      <c r="L97" s="48">
        <f>IF(OR(A97="",H97=""),"",IF(H97&lt;E97,IF(OR(J97="Oui",'00_Parametres'!$B$28="Oui"),H97,E97),H97))</f>
      </c>
      <c r="M97" s="48">
        <f>IF(OR(A97="",I97=""),"",IF(I97&gt;F97,IF(OR(K97="Oui",'00_Parametres'!$B$29="Oui"),I97,F97),I97))</f>
      </c>
      <c r="N97" s="52">
        <f t="shared" si="9"/>
        <v>0</v>
      </c>
      <c r="O97" s="52">
        <f t="shared" si="10"/>
        <v>0</v>
      </c>
      <c r="P97" s="53">
        <f t="shared" si="11"/>
        <v>0</v>
      </c>
      <c r="Q97" s="53">
        <f>IF(P97=0,0,MIN(P97,'00_Parametres'!$B$23))</f>
        <v>0</v>
      </c>
      <c r="R97" s="53">
        <f>IF(P97=0,0,MAX(0,P97-'00_Parametres'!$B$23))</f>
        <v>0</v>
      </c>
      <c r="S97" s="26"/>
      <c r="T97" s="26"/>
      <c r="U97" s="40"/>
    </row>
    <row r="98" ht="15" customHeight="1" spans="1:21" x14ac:dyDescent="0.25">
      <c r="A98" s="46"/>
      <c r="B98" s="26"/>
      <c r="C98" s="41">
        <f>IF(B98="","",IFERROR(VLOOKUP(B98,Employes[[ID]:[Nom Complet]],4,FALSE()),""))</f>
      </c>
      <c r="D98" s="47">
        <f t="shared" si="8"/>
      </c>
      <c r="E98" s="48">
        <f>IF(A98="","",IFERROR(INDEX('00_Parametres'!$C$7:$C$13,WEEKDAY(A98,2)),""))</f>
      </c>
      <c r="F98" s="48">
        <f>IF(A98="","",IFERROR(INDEX('00_Parametres'!$D$7:$D$13,WEEKDAY(A98,2)),""))</f>
      </c>
      <c r="G98" s="49">
        <f>IF(A98="","",IFERROR(INDEX('00_Parametres'!$E$7:$E$13,WEEKDAY(A98,2)),0))</f>
      </c>
      <c r="H98" s="50"/>
      <c r="I98" s="50"/>
      <c r="J98" s="51" t="s">
        <v>70</v>
      </c>
      <c r="K98" s="51" t="s">
        <v>70</v>
      </c>
      <c r="L98" s="48">
        <f>IF(OR(A98="",H98=""),"",IF(H98&lt;E98,IF(OR(J98="Oui",'00_Parametres'!$B$28="Oui"),H98,E98),H98))</f>
      </c>
      <c r="M98" s="48">
        <f>IF(OR(A98="",I98=""),"",IF(I98&gt;F98,IF(OR(K98="Oui",'00_Parametres'!$B$29="Oui"),I98,F98),I98))</f>
      </c>
      <c r="N98" s="52">
        <f t="shared" si="9"/>
        <v>0</v>
      </c>
      <c r="O98" s="52">
        <f t="shared" si="10"/>
        <v>0</v>
      </c>
      <c r="P98" s="53">
        <f t="shared" si="11"/>
        <v>0</v>
      </c>
      <c r="Q98" s="53">
        <f>IF(P98=0,0,MIN(P98,'00_Parametres'!$B$23))</f>
        <v>0</v>
      </c>
      <c r="R98" s="53">
        <f>IF(P98=0,0,MAX(0,P98-'00_Parametres'!$B$23))</f>
        <v>0</v>
      </c>
      <c r="S98" s="26"/>
      <c r="T98" s="26"/>
      <c r="U98" s="40"/>
    </row>
    <row r="99" ht="15" customHeight="1" spans="1:21" x14ac:dyDescent="0.25">
      <c r="A99" s="46"/>
      <c r="B99" s="26"/>
      <c r="C99" s="41">
        <f>IF(B99="","",IFERROR(VLOOKUP(B99,Employes[[ID]:[Nom Complet]],4,FALSE()),""))</f>
      </c>
      <c r="D99" s="47">
        <f t="shared" si="8"/>
      </c>
      <c r="E99" s="48">
        <f>IF(A99="","",IFERROR(INDEX('00_Parametres'!$C$7:$C$13,WEEKDAY(A99,2)),""))</f>
      </c>
      <c r="F99" s="48">
        <f>IF(A99="","",IFERROR(INDEX('00_Parametres'!$D$7:$D$13,WEEKDAY(A99,2)),""))</f>
      </c>
      <c r="G99" s="49">
        <f>IF(A99="","",IFERROR(INDEX('00_Parametres'!$E$7:$E$13,WEEKDAY(A99,2)),0))</f>
      </c>
      <c r="H99" s="50"/>
      <c r="I99" s="50"/>
      <c r="J99" s="51" t="s">
        <v>70</v>
      </c>
      <c r="K99" s="51" t="s">
        <v>70</v>
      </c>
      <c r="L99" s="48">
        <f>IF(OR(A99="",H99=""),"",IF(H99&lt;E99,IF(OR(J99="Oui",'00_Parametres'!$B$28="Oui"),H99,E99),H99))</f>
      </c>
      <c r="M99" s="48">
        <f>IF(OR(A99="",I99=""),"",IF(I99&gt;F99,IF(OR(K99="Oui",'00_Parametres'!$B$29="Oui"),I99,F99),I99))</f>
      </c>
      <c r="N99" s="52">
        <f t="shared" si="9"/>
        <v>0</v>
      </c>
      <c r="O99" s="52">
        <f t="shared" si="10"/>
        <v>0</v>
      </c>
      <c r="P99" s="53">
        <f t="shared" si="11"/>
        <v>0</v>
      </c>
      <c r="Q99" s="53">
        <f>IF(P99=0,0,MIN(P99,'00_Parametres'!$B$23))</f>
        <v>0</v>
      </c>
      <c r="R99" s="53">
        <f>IF(P99=0,0,MAX(0,P99-'00_Parametres'!$B$23))</f>
        <v>0</v>
      </c>
      <c r="S99" s="26"/>
      <c r="T99" s="26"/>
      <c r="U99" s="40"/>
    </row>
    <row r="100" ht="15" customHeight="1" spans="1:21" x14ac:dyDescent="0.25">
      <c r="A100" s="46"/>
      <c r="B100" s="26"/>
      <c r="C100" s="41">
        <f>IF(B100="","",IFERROR(VLOOKUP(B100,Employes[[ID]:[Nom Complet]],4,FALSE()),""))</f>
      </c>
      <c r="D100" s="47">
        <f t="shared" si="8"/>
      </c>
      <c r="E100" s="48">
        <f>IF(A100="","",IFERROR(INDEX('00_Parametres'!$C$7:$C$13,WEEKDAY(A100,2)),""))</f>
      </c>
      <c r="F100" s="48">
        <f>IF(A100="","",IFERROR(INDEX('00_Parametres'!$D$7:$D$13,WEEKDAY(A100,2)),""))</f>
      </c>
      <c r="G100" s="49">
        <f>IF(A100="","",IFERROR(INDEX('00_Parametres'!$E$7:$E$13,WEEKDAY(A100,2)),0))</f>
      </c>
      <c r="H100" s="50"/>
      <c r="I100" s="50"/>
      <c r="J100" s="51" t="s">
        <v>70</v>
      </c>
      <c r="K100" s="51" t="s">
        <v>70</v>
      </c>
      <c r="L100" s="48">
        <f>IF(OR(A100="",H100=""),"",IF(H100&lt;E100,IF(OR(J100="Oui",'00_Parametres'!$B$28="Oui"),H100,E100),H100))</f>
      </c>
      <c r="M100" s="48">
        <f>IF(OR(A100="",I100=""),"",IF(I100&gt;F100,IF(OR(K100="Oui",'00_Parametres'!$B$29="Oui"),I100,F100),I100))</f>
      </c>
      <c r="N100" s="52">
        <f t="shared" si="9"/>
        <v>0</v>
      </c>
      <c r="O100" s="52">
        <f t="shared" si="10"/>
        <v>0</v>
      </c>
      <c r="P100" s="53">
        <f t="shared" si="11"/>
        <v>0</v>
      </c>
      <c r="Q100" s="53">
        <f>IF(P100=0,0,MIN(P100,'00_Parametres'!$B$23))</f>
        <v>0</v>
      </c>
      <c r="R100" s="53">
        <f>IF(P100=0,0,MAX(0,P100-'00_Parametres'!$B$23))</f>
        <v>0</v>
      </c>
      <c r="S100" s="26"/>
      <c r="T100" s="26"/>
      <c r="U100" s="40"/>
    </row>
    <row r="101" ht="15" customHeight="1" spans="1:21" x14ac:dyDescent="0.25">
      <c r="A101" s="46"/>
      <c r="B101" s="26"/>
      <c r="C101" s="41">
        <f>IF(B101="","",IFERROR(VLOOKUP(B101,Employes[[ID]:[Nom Complet]],4,FALSE()),""))</f>
      </c>
      <c r="D101" s="47">
        <f t="shared" si="8"/>
      </c>
      <c r="E101" s="48">
        <f>IF(A101="","",IFERROR(INDEX('00_Parametres'!$C$7:$C$13,WEEKDAY(A101,2)),""))</f>
      </c>
      <c r="F101" s="48">
        <f>IF(A101="","",IFERROR(INDEX('00_Parametres'!$D$7:$D$13,WEEKDAY(A101,2)),""))</f>
      </c>
      <c r="G101" s="49">
        <f>IF(A101="","",IFERROR(INDEX('00_Parametres'!$E$7:$E$13,WEEKDAY(A101,2)),0))</f>
      </c>
      <c r="H101" s="50"/>
      <c r="I101" s="50"/>
      <c r="J101" s="51" t="s">
        <v>70</v>
      </c>
      <c r="K101" s="51" t="s">
        <v>70</v>
      </c>
      <c r="L101" s="48">
        <f>IF(OR(A101="",H101=""),"",IF(H101&lt;E101,IF(OR(J101="Oui",'00_Parametres'!$B$28="Oui"),H101,E101),H101))</f>
      </c>
      <c r="M101" s="48">
        <f>IF(OR(A101="",I101=""),"",IF(I101&gt;F101,IF(OR(K101="Oui",'00_Parametres'!$B$29="Oui"),I101,F101),I101))</f>
      </c>
      <c r="N101" s="52">
        <f t="shared" si="9"/>
        <v>0</v>
      </c>
      <c r="O101" s="52">
        <f t="shared" si="10"/>
        <v>0</v>
      </c>
      <c r="P101" s="53">
        <f t="shared" si="11"/>
        <v>0</v>
      </c>
      <c r="Q101" s="53">
        <f>IF(P101=0,0,MIN(P101,'00_Parametres'!$B$23))</f>
        <v>0</v>
      </c>
      <c r="R101" s="53">
        <f>IF(P101=0,0,MAX(0,P101-'00_Parametres'!$B$23))</f>
        <v>0</v>
      </c>
      <c r="S101" s="26"/>
      <c r="T101" s="26"/>
      <c r="U101" s="40"/>
    </row>
    <row r="102" ht="15" customHeight="1" spans="1:21" x14ac:dyDescent="0.25">
      <c r="A102" s="46"/>
      <c r="B102" s="26"/>
      <c r="C102" s="41">
        <f>IF(B102="","",IFERROR(VLOOKUP(B102,Employes[[ID]:[Nom Complet]],4,FALSE()),""))</f>
      </c>
      <c r="D102" s="47">
        <f t="shared" ref="D102:D133" si="12">IF(A102="","",TEXT(A102,"dddd"))</f>
      </c>
      <c r="E102" s="48">
        <f>IF(A102="","",IFERROR(INDEX('00_Parametres'!$C$7:$C$13,WEEKDAY(A102,2)),""))</f>
      </c>
      <c r="F102" s="48">
        <f>IF(A102="","",IFERROR(INDEX('00_Parametres'!$D$7:$D$13,WEEKDAY(A102,2)),""))</f>
      </c>
      <c r="G102" s="49">
        <f>IF(A102="","",IFERROR(INDEX('00_Parametres'!$E$7:$E$13,WEEKDAY(A102,2)),0))</f>
      </c>
      <c r="H102" s="50"/>
      <c r="I102" s="50"/>
      <c r="J102" s="51" t="s">
        <v>70</v>
      </c>
      <c r="K102" s="51" t="s">
        <v>70</v>
      </c>
      <c r="L102" s="48">
        <f>IF(OR(A102="",H102=""),"",IF(H102&lt;E102,IF(OR(J102="Oui",'00_Parametres'!$B$28="Oui"),H102,E102),H102))</f>
      </c>
      <c r="M102" s="48">
        <f>IF(OR(A102="",I102=""),"",IF(I102&gt;F102,IF(OR(K102="Oui",'00_Parametres'!$B$29="Oui"),I102,F102),I102))</f>
      </c>
      <c r="N102" s="52">
        <f t="shared" ref="N102:N133" si="13">IF(OR(A102="",H102="",E102=""),0,MAX(0,ROUND((H102-E102)*1440,0)))</f>
        <v>0</v>
      </c>
      <c r="O102" s="52">
        <f t="shared" ref="O102:O133" si="14">IF(OR(A102="",I102="",F102=""),0,MAX(0,ROUND((F102-I102)*1440,0)))</f>
        <v>0</v>
      </c>
      <c r="P102" s="53">
        <f t="shared" ref="P102:P133" si="15">IF(OR(L102="",M102=""),0,MAX(0,ROUND((M102-L102)*24-G102,2)))</f>
        <v>0</v>
      </c>
      <c r="Q102" s="53">
        <f>IF(P102=0,0,MIN(P102,'00_Parametres'!$B$23))</f>
        <v>0</v>
      </c>
      <c r="R102" s="53">
        <f>IF(P102=0,0,MAX(0,P102-'00_Parametres'!$B$23))</f>
        <v>0</v>
      </c>
      <c r="S102" s="26"/>
      <c r="T102" s="26"/>
      <c r="U102" s="40"/>
    </row>
    <row r="103" ht="15" customHeight="1" spans="1:21" x14ac:dyDescent="0.25">
      <c r="A103" s="46"/>
      <c r="B103" s="26"/>
      <c r="C103" s="41">
        <f>IF(B103="","",IFERROR(VLOOKUP(B103,Employes[[ID]:[Nom Complet]],4,FALSE()),""))</f>
      </c>
      <c r="D103" s="47">
        <f t="shared" si="12"/>
      </c>
      <c r="E103" s="48">
        <f>IF(A103="","",IFERROR(INDEX('00_Parametres'!$C$7:$C$13,WEEKDAY(A103,2)),""))</f>
      </c>
      <c r="F103" s="48">
        <f>IF(A103="","",IFERROR(INDEX('00_Parametres'!$D$7:$D$13,WEEKDAY(A103,2)),""))</f>
      </c>
      <c r="G103" s="49">
        <f>IF(A103="","",IFERROR(INDEX('00_Parametres'!$E$7:$E$13,WEEKDAY(A103,2)),0))</f>
      </c>
      <c r="H103" s="50"/>
      <c r="I103" s="50"/>
      <c r="J103" s="51" t="s">
        <v>70</v>
      </c>
      <c r="K103" s="51" t="s">
        <v>70</v>
      </c>
      <c r="L103" s="48">
        <f>IF(OR(A103="",H103=""),"",IF(H103&lt;E103,IF(OR(J103="Oui",'00_Parametres'!$B$28="Oui"),H103,E103),H103))</f>
      </c>
      <c r="M103" s="48">
        <f>IF(OR(A103="",I103=""),"",IF(I103&gt;F103,IF(OR(K103="Oui",'00_Parametres'!$B$29="Oui"),I103,F103),I103))</f>
      </c>
      <c r="N103" s="52">
        <f t="shared" si="13"/>
        <v>0</v>
      </c>
      <c r="O103" s="52">
        <f t="shared" si="14"/>
        <v>0</v>
      </c>
      <c r="P103" s="53">
        <f t="shared" si="15"/>
        <v>0</v>
      </c>
      <c r="Q103" s="53">
        <f>IF(P103=0,0,MIN(P103,'00_Parametres'!$B$23))</f>
        <v>0</v>
      </c>
      <c r="R103" s="53">
        <f>IF(P103=0,0,MAX(0,P103-'00_Parametres'!$B$23))</f>
        <v>0</v>
      </c>
      <c r="S103" s="26"/>
      <c r="T103" s="26"/>
      <c r="U103" s="40"/>
    </row>
    <row r="104" ht="15" customHeight="1" spans="1:21" x14ac:dyDescent="0.25">
      <c r="A104" s="46"/>
      <c r="B104" s="26"/>
      <c r="C104" s="41">
        <f>IF(B104="","",IFERROR(VLOOKUP(B104,Employes[[ID]:[Nom Complet]],4,FALSE()),""))</f>
      </c>
      <c r="D104" s="47">
        <f t="shared" si="12"/>
      </c>
      <c r="E104" s="48">
        <f>IF(A104="","",IFERROR(INDEX('00_Parametres'!$C$7:$C$13,WEEKDAY(A104,2)),""))</f>
      </c>
      <c r="F104" s="48">
        <f>IF(A104="","",IFERROR(INDEX('00_Parametres'!$D$7:$D$13,WEEKDAY(A104,2)),""))</f>
      </c>
      <c r="G104" s="49">
        <f>IF(A104="","",IFERROR(INDEX('00_Parametres'!$E$7:$E$13,WEEKDAY(A104,2)),0))</f>
      </c>
      <c r="H104" s="50"/>
      <c r="I104" s="50"/>
      <c r="J104" s="51" t="s">
        <v>70</v>
      </c>
      <c r="K104" s="51" t="s">
        <v>70</v>
      </c>
      <c r="L104" s="48">
        <f>IF(OR(A104="",H104=""),"",IF(H104&lt;E104,IF(OR(J104="Oui",'00_Parametres'!$B$28="Oui"),H104,E104),H104))</f>
      </c>
      <c r="M104" s="48">
        <f>IF(OR(A104="",I104=""),"",IF(I104&gt;F104,IF(OR(K104="Oui",'00_Parametres'!$B$29="Oui"),I104,F104),I104))</f>
      </c>
      <c r="N104" s="52">
        <f t="shared" si="13"/>
        <v>0</v>
      </c>
      <c r="O104" s="52">
        <f t="shared" si="14"/>
        <v>0</v>
      </c>
      <c r="P104" s="53">
        <f t="shared" si="15"/>
        <v>0</v>
      </c>
      <c r="Q104" s="53">
        <f>IF(P104=0,0,MIN(P104,'00_Parametres'!$B$23))</f>
        <v>0</v>
      </c>
      <c r="R104" s="53">
        <f>IF(P104=0,0,MAX(0,P104-'00_Parametres'!$B$23))</f>
        <v>0</v>
      </c>
      <c r="S104" s="26"/>
      <c r="T104" s="26"/>
      <c r="U104" s="40"/>
    </row>
    <row r="105" ht="15" customHeight="1" spans="1:21" x14ac:dyDescent="0.25">
      <c r="A105" s="46"/>
      <c r="B105" s="26"/>
      <c r="C105" s="41">
        <f>IF(B105="","",IFERROR(VLOOKUP(B105,Employes[[ID]:[Nom Complet]],4,FALSE()),""))</f>
      </c>
      <c r="D105" s="47">
        <f t="shared" si="12"/>
      </c>
      <c r="E105" s="48">
        <f>IF(A105="","",IFERROR(INDEX('00_Parametres'!$C$7:$C$13,WEEKDAY(A105,2)),""))</f>
      </c>
      <c r="F105" s="48">
        <f>IF(A105="","",IFERROR(INDEX('00_Parametres'!$D$7:$D$13,WEEKDAY(A105,2)),""))</f>
      </c>
      <c r="G105" s="49">
        <f>IF(A105="","",IFERROR(INDEX('00_Parametres'!$E$7:$E$13,WEEKDAY(A105,2)),0))</f>
      </c>
      <c r="H105" s="50"/>
      <c r="I105" s="50"/>
      <c r="J105" s="51" t="s">
        <v>70</v>
      </c>
      <c r="K105" s="51" t="s">
        <v>70</v>
      </c>
      <c r="L105" s="48">
        <f>IF(OR(A105="",H105=""),"",IF(H105&lt;E105,IF(OR(J105="Oui",'00_Parametres'!$B$28="Oui"),H105,E105),H105))</f>
      </c>
      <c r="M105" s="48">
        <f>IF(OR(A105="",I105=""),"",IF(I105&gt;F105,IF(OR(K105="Oui",'00_Parametres'!$B$29="Oui"),I105,F105),I105))</f>
      </c>
      <c r="N105" s="52">
        <f t="shared" si="13"/>
        <v>0</v>
      </c>
      <c r="O105" s="52">
        <f t="shared" si="14"/>
        <v>0</v>
      </c>
      <c r="P105" s="53">
        <f t="shared" si="15"/>
        <v>0</v>
      </c>
      <c r="Q105" s="53">
        <f>IF(P105=0,0,MIN(P105,'00_Parametres'!$B$23))</f>
        <v>0</v>
      </c>
      <c r="R105" s="53">
        <f>IF(P105=0,0,MAX(0,P105-'00_Parametres'!$B$23))</f>
        <v>0</v>
      </c>
      <c r="S105" s="26"/>
      <c r="T105" s="26"/>
      <c r="U105" s="40"/>
    </row>
    <row r="106" ht="15" customHeight="1" spans="1:21" x14ac:dyDescent="0.25">
      <c r="A106" s="46"/>
      <c r="B106" s="26"/>
      <c r="C106" s="41">
        <f>IF(B106="","",IFERROR(VLOOKUP(B106,Employes[[ID]:[Nom Complet]],4,FALSE()),""))</f>
      </c>
      <c r="D106" s="47">
        <f t="shared" si="12"/>
      </c>
      <c r="E106" s="48">
        <f>IF(A106="","",IFERROR(INDEX('00_Parametres'!$C$7:$C$13,WEEKDAY(A106,2)),""))</f>
      </c>
      <c r="F106" s="48">
        <f>IF(A106="","",IFERROR(INDEX('00_Parametres'!$D$7:$D$13,WEEKDAY(A106,2)),""))</f>
      </c>
      <c r="G106" s="49">
        <f>IF(A106="","",IFERROR(INDEX('00_Parametres'!$E$7:$E$13,WEEKDAY(A106,2)),0))</f>
      </c>
      <c r="H106" s="50"/>
      <c r="I106" s="50"/>
      <c r="J106" s="51" t="s">
        <v>70</v>
      </c>
      <c r="K106" s="51" t="s">
        <v>70</v>
      </c>
      <c r="L106" s="48">
        <f>IF(OR(A106="",H106=""),"",IF(H106&lt;E106,IF(OR(J106="Oui",'00_Parametres'!$B$28="Oui"),H106,E106),H106))</f>
      </c>
      <c r="M106" s="48">
        <f>IF(OR(A106="",I106=""),"",IF(I106&gt;F106,IF(OR(K106="Oui",'00_Parametres'!$B$29="Oui"),I106,F106),I106))</f>
      </c>
      <c r="N106" s="52">
        <f t="shared" si="13"/>
        <v>0</v>
      </c>
      <c r="O106" s="52">
        <f t="shared" si="14"/>
        <v>0</v>
      </c>
      <c r="P106" s="53">
        <f t="shared" si="15"/>
        <v>0</v>
      </c>
      <c r="Q106" s="53">
        <f>IF(P106=0,0,MIN(P106,'00_Parametres'!$B$23))</f>
        <v>0</v>
      </c>
      <c r="R106" s="53">
        <f>IF(P106=0,0,MAX(0,P106-'00_Parametres'!$B$23))</f>
        <v>0</v>
      </c>
      <c r="S106" s="26"/>
      <c r="T106" s="26"/>
      <c r="U106" s="40"/>
    </row>
    <row r="107" ht="15" customHeight="1" spans="1:21" x14ac:dyDescent="0.25">
      <c r="A107" s="46"/>
      <c r="B107" s="26"/>
      <c r="C107" s="41">
        <f>IF(B107="","",IFERROR(VLOOKUP(B107,Employes[[ID]:[Nom Complet]],4,FALSE()),""))</f>
      </c>
      <c r="D107" s="47">
        <f t="shared" si="12"/>
      </c>
      <c r="E107" s="48">
        <f>IF(A107="","",IFERROR(INDEX('00_Parametres'!$C$7:$C$13,WEEKDAY(A107,2)),""))</f>
      </c>
      <c r="F107" s="48">
        <f>IF(A107="","",IFERROR(INDEX('00_Parametres'!$D$7:$D$13,WEEKDAY(A107,2)),""))</f>
      </c>
      <c r="G107" s="49">
        <f>IF(A107="","",IFERROR(INDEX('00_Parametres'!$E$7:$E$13,WEEKDAY(A107,2)),0))</f>
      </c>
      <c r="H107" s="50"/>
      <c r="I107" s="50"/>
      <c r="J107" s="51" t="s">
        <v>70</v>
      </c>
      <c r="K107" s="51" t="s">
        <v>70</v>
      </c>
      <c r="L107" s="48">
        <f>IF(OR(A107="",H107=""),"",IF(H107&lt;E107,IF(OR(J107="Oui",'00_Parametres'!$B$28="Oui"),H107,E107),H107))</f>
      </c>
      <c r="M107" s="48">
        <f>IF(OR(A107="",I107=""),"",IF(I107&gt;F107,IF(OR(K107="Oui",'00_Parametres'!$B$29="Oui"),I107,F107),I107))</f>
      </c>
      <c r="N107" s="52">
        <f t="shared" si="13"/>
        <v>0</v>
      </c>
      <c r="O107" s="52">
        <f t="shared" si="14"/>
        <v>0</v>
      </c>
      <c r="P107" s="53">
        <f t="shared" si="15"/>
        <v>0</v>
      </c>
      <c r="Q107" s="53">
        <f>IF(P107=0,0,MIN(P107,'00_Parametres'!$B$23))</f>
        <v>0</v>
      </c>
      <c r="R107" s="53">
        <f>IF(P107=0,0,MAX(0,P107-'00_Parametres'!$B$23))</f>
        <v>0</v>
      </c>
      <c r="S107" s="26"/>
      <c r="T107" s="26"/>
      <c r="U107" s="40"/>
    </row>
    <row r="108" ht="15" customHeight="1" spans="1:21" x14ac:dyDescent="0.25">
      <c r="A108" s="46"/>
      <c r="B108" s="26"/>
      <c r="C108" s="41">
        <f>IF(B108="","",IFERROR(VLOOKUP(B108,Employes[[ID]:[Nom Complet]],4,FALSE()),""))</f>
      </c>
      <c r="D108" s="47">
        <f t="shared" si="12"/>
      </c>
      <c r="E108" s="48">
        <f>IF(A108="","",IFERROR(INDEX('00_Parametres'!$C$7:$C$13,WEEKDAY(A108,2)),""))</f>
      </c>
      <c r="F108" s="48">
        <f>IF(A108="","",IFERROR(INDEX('00_Parametres'!$D$7:$D$13,WEEKDAY(A108,2)),""))</f>
      </c>
      <c r="G108" s="49">
        <f>IF(A108="","",IFERROR(INDEX('00_Parametres'!$E$7:$E$13,WEEKDAY(A108,2)),0))</f>
      </c>
      <c r="H108" s="50"/>
      <c r="I108" s="50"/>
      <c r="J108" s="51" t="s">
        <v>70</v>
      </c>
      <c r="K108" s="51" t="s">
        <v>70</v>
      </c>
      <c r="L108" s="48">
        <f>IF(OR(A108="",H108=""),"",IF(H108&lt;E108,IF(OR(J108="Oui",'00_Parametres'!$B$28="Oui"),H108,E108),H108))</f>
      </c>
      <c r="M108" s="48">
        <f>IF(OR(A108="",I108=""),"",IF(I108&gt;F108,IF(OR(K108="Oui",'00_Parametres'!$B$29="Oui"),I108,F108),I108))</f>
      </c>
      <c r="N108" s="52">
        <f t="shared" si="13"/>
        <v>0</v>
      </c>
      <c r="O108" s="52">
        <f t="shared" si="14"/>
        <v>0</v>
      </c>
      <c r="P108" s="53">
        <f t="shared" si="15"/>
        <v>0</v>
      </c>
      <c r="Q108" s="53">
        <f>IF(P108=0,0,MIN(P108,'00_Parametres'!$B$23))</f>
        <v>0</v>
      </c>
      <c r="R108" s="53">
        <f>IF(P108=0,0,MAX(0,P108-'00_Parametres'!$B$23))</f>
        <v>0</v>
      </c>
      <c r="S108" s="26"/>
      <c r="T108" s="26"/>
      <c r="U108" s="40"/>
    </row>
    <row r="109" ht="15" customHeight="1" spans="1:21" x14ac:dyDescent="0.25">
      <c r="A109" s="46"/>
      <c r="B109" s="26"/>
      <c r="C109" s="41">
        <f>IF(B109="","",IFERROR(VLOOKUP(B109,Employes[[ID]:[Nom Complet]],4,FALSE()),""))</f>
      </c>
      <c r="D109" s="47">
        <f t="shared" si="12"/>
      </c>
      <c r="E109" s="48">
        <f>IF(A109="","",IFERROR(INDEX('00_Parametres'!$C$7:$C$13,WEEKDAY(A109,2)),""))</f>
      </c>
      <c r="F109" s="48">
        <f>IF(A109="","",IFERROR(INDEX('00_Parametres'!$D$7:$D$13,WEEKDAY(A109,2)),""))</f>
      </c>
      <c r="G109" s="49">
        <f>IF(A109="","",IFERROR(INDEX('00_Parametres'!$E$7:$E$13,WEEKDAY(A109,2)),0))</f>
      </c>
      <c r="H109" s="50"/>
      <c r="I109" s="50"/>
      <c r="J109" s="51" t="s">
        <v>70</v>
      </c>
      <c r="K109" s="51" t="s">
        <v>70</v>
      </c>
      <c r="L109" s="48">
        <f>IF(OR(A109="",H109=""),"",IF(H109&lt;E109,IF(OR(J109="Oui",'00_Parametres'!$B$28="Oui"),H109,E109),H109))</f>
      </c>
      <c r="M109" s="48">
        <f>IF(OR(A109="",I109=""),"",IF(I109&gt;F109,IF(OR(K109="Oui",'00_Parametres'!$B$29="Oui"),I109,F109),I109))</f>
      </c>
      <c r="N109" s="52">
        <f t="shared" si="13"/>
        <v>0</v>
      </c>
      <c r="O109" s="52">
        <f t="shared" si="14"/>
        <v>0</v>
      </c>
      <c r="P109" s="53">
        <f t="shared" si="15"/>
        <v>0</v>
      </c>
      <c r="Q109" s="53">
        <f>IF(P109=0,0,MIN(P109,'00_Parametres'!$B$23))</f>
        <v>0</v>
      </c>
      <c r="R109" s="53">
        <f>IF(P109=0,0,MAX(0,P109-'00_Parametres'!$B$23))</f>
        <v>0</v>
      </c>
      <c r="S109" s="26"/>
      <c r="T109" s="26"/>
      <c r="U109" s="40"/>
    </row>
    <row r="110" ht="15" customHeight="1" spans="1:21" x14ac:dyDescent="0.25">
      <c r="A110" s="46"/>
      <c r="B110" s="26"/>
      <c r="C110" s="41">
        <f>IF(B110="","",IFERROR(VLOOKUP(B110,Employes[[ID]:[Nom Complet]],4,FALSE()),""))</f>
      </c>
      <c r="D110" s="47">
        <f t="shared" si="12"/>
      </c>
      <c r="E110" s="48">
        <f>IF(A110="","",IFERROR(INDEX('00_Parametres'!$C$7:$C$13,WEEKDAY(A110,2)),""))</f>
      </c>
      <c r="F110" s="48">
        <f>IF(A110="","",IFERROR(INDEX('00_Parametres'!$D$7:$D$13,WEEKDAY(A110,2)),""))</f>
      </c>
      <c r="G110" s="49">
        <f>IF(A110="","",IFERROR(INDEX('00_Parametres'!$E$7:$E$13,WEEKDAY(A110,2)),0))</f>
      </c>
      <c r="H110" s="50"/>
      <c r="I110" s="50"/>
      <c r="J110" s="51" t="s">
        <v>70</v>
      </c>
      <c r="K110" s="51" t="s">
        <v>70</v>
      </c>
      <c r="L110" s="48">
        <f>IF(OR(A110="",H110=""),"",IF(H110&lt;E110,IF(OR(J110="Oui",'00_Parametres'!$B$28="Oui"),H110,E110),H110))</f>
      </c>
      <c r="M110" s="48">
        <f>IF(OR(A110="",I110=""),"",IF(I110&gt;F110,IF(OR(K110="Oui",'00_Parametres'!$B$29="Oui"),I110,F110),I110))</f>
      </c>
      <c r="N110" s="52">
        <f t="shared" si="13"/>
        <v>0</v>
      </c>
      <c r="O110" s="52">
        <f t="shared" si="14"/>
        <v>0</v>
      </c>
      <c r="P110" s="53">
        <f t="shared" si="15"/>
        <v>0</v>
      </c>
      <c r="Q110" s="53">
        <f>IF(P110=0,0,MIN(P110,'00_Parametres'!$B$23))</f>
        <v>0</v>
      </c>
      <c r="R110" s="53">
        <f>IF(P110=0,0,MAX(0,P110-'00_Parametres'!$B$23))</f>
        <v>0</v>
      </c>
      <c r="S110" s="26"/>
      <c r="T110" s="26"/>
      <c r="U110" s="40"/>
    </row>
    <row r="111" ht="15" customHeight="1" spans="1:21" x14ac:dyDescent="0.25">
      <c r="A111" s="46"/>
      <c r="B111" s="26"/>
      <c r="C111" s="41">
        <f>IF(B111="","",IFERROR(VLOOKUP(B111,Employes[[ID]:[Nom Complet]],4,FALSE()),""))</f>
      </c>
      <c r="D111" s="47">
        <f t="shared" si="12"/>
      </c>
      <c r="E111" s="48">
        <f>IF(A111="","",IFERROR(INDEX('00_Parametres'!$C$7:$C$13,WEEKDAY(A111,2)),""))</f>
      </c>
      <c r="F111" s="48">
        <f>IF(A111="","",IFERROR(INDEX('00_Parametres'!$D$7:$D$13,WEEKDAY(A111,2)),""))</f>
      </c>
      <c r="G111" s="49">
        <f>IF(A111="","",IFERROR(INDEX('00_Parametres'!$E$7:$E$13,WEEKDAY(A111,2)),0))</f>
      </c>
      <c r="H111" s="50"/>
      <c r="I111" s="50"/>
      <c r="J111" s="51" t="s">
        <v>70</v>
      </c>
      <c r="K111" s="51" t="s">
        <v>70</v>
      </c>
      <c r="L111" s="48">
        <f>IF(OR(A111="",H111=""),"",IF(H111&lt;E111,IF(OR(J111="Oui",'00_Parametres'!$B$28="Oui"),H111,E111),H111))</f>
      </c>
      <c r="M111" s="48">
        <f>IF(OR(A111="",I111=""),"",IF(I111&gt;F111,IF(OR(K111="Oui",'00_Parametres'!$B$29="Oui"),I111,F111),I111))</f>
      </c>
      <c r="N111" s="52">
        <f t="shared" si="13"/>
        <v>0</v>
      </c>
      <c r="O111" s="52">
        <f t="shared" si="14"/>
        <v>0</v>
      </c>
      <c r="P111" s="53">
        <f t="shared" si="15"/>
        <v>0</v>
      </c>
      <c r="Q111" s="53">
        <f>IF(P111=0,0,MIN(P111,'00_Parametres'!$B$23))</f>
        <v>0</v>
      </c>
      <c r="R111" s="53">
        <f>IF(P111=0,0,MAX(0,P111-'00_Parametres'!$B$23))</f>
        <v>0</v>
      </c>
      <c r="S111" s="26"/>
      <c r="T111" s="26"/>
      <c r="U111" s="40"/>
    </row>
    <row r="112" ht="15" customHeight="1" spans="1:21" x14ac:dyDescent="0.25">
      <c r="A112" s="46"/>
      <c r="B112" s="26"/>
      <c r="C112" s="41">
        <f>IF(B112="","",IFERROR(VLOOKUP(B112,Employes[[ID]:[Nom Complet]],4,FALSE()),""))</f>
      </c>
      <c r="D112" s="47">
        <f t="shared" si="12"/>
      </c>
      <c r="E112" s="48">
        <f>IF(A112="","",IFERROR(INDEX('00_Parametres'!$C$7:$C$13,WEEKDAY(A112,2)),""))</f>
      </c>
      <c r="F112" s="48">
        <f>IF(A112="","",IFERROR(INDEX('00_Parametres'!$D$7:$D$13,WEEKDAY(A112,2)),""))</f>
      </c>
      <c r="G112" s="49">
        <f>IF(A112="","",IFERROR(INDEX('00_Parametres'!$E$7:$E$13,WEEKDAY(A112,2)),0))</f>
      </c>
      <c r="H112" s="50"/>
      <c r="I112" s="50"/>
      <c r="J112" s="51" t="s">
        <v>70</v>
      </c>
      <c r="K112" s="51" t="s">
        <v>70</v>
      </c>
      <c r="L112" s="48">
        <f>IF(OR(A112="",H112=""),"",IF(H112&lt;E112,IF(OR(J112="Oui",'00_Parametres'!$B$28="Oui"),H112,E112),H112))</f>
      </c>
      <c r="M112" s="48">
        <f>IF(OR(A112="",I112=""),"",IF(I112&gt;F112,IF(OR(K112="Oui",'00_Parametres'!$B$29="Oui"),I112,F112),I112))</f>
      </c>
      <c r="N112" s="52">
        <f t="shared" si="13"/>
        <v>0</v>
      </c>
      <c r="O112" s="52">
        <f t="shared" si="14"/>
        <v>0</v>
      </c>
      <c r="P112" s="53">
        <f t="shared" si="15"/>
        <v>0</v>
      </c>
      <c r="Q112" s="53">
        <f>IF(P112=0,0,MIN(P112,'00_Parametres'!$B$23))</f>
        <v>0</v>
      </c>
      <c r="R112" s="53">
        <f>IF(P112=0,0,MAX(0,P112-'00_Parametres'!$B$23))</f>
        <v>0</v>
      </c>
      <c r="S112" s="26"/>
      <c r="T112" s="26"/>
      <c r="U112" s="40"/>
    </row>
    <row r="113" ht="15" customHeight="1" spans="1:21" x14ac:dyDescent="0.25">
      <c r="A113" s="46"/>
      <c r="B113" s="26"/>
      <c r="C113" s="41">
        <f>IF(B113="","",IFERROR(VLOOKUP(B113,Employes[[ID]:[Nom Complet]],4,FALSE()),""))</f>
      </c>
      <c r="D113" s="47">
        <f t="shared" si="12"/>
      </c>
      <c r="E113" s="48">
        <f>IF(A113="","",IFERROR(INDEX('00_Parametres'!$C$7:$C$13,WEEKDAY(A113,2)),""))</f>
      </c>
      <c r="F113" s="48">
        <f>IF(A113="","",IFERROR(INDEX('00_Parametres'!$D$7:$D$13,WEEKDAY(A113,2)),""))</f>
      </c>
      <c r="G113" s="49">
        <f>IF(A113="","",IFERROR(INDEX('00_Parametres'!$E$7:$E$13,WEEKDAY(A113,2)),0))</f>
      </c>
      <c r="H113" s="50"/>
      <c r="I113" s="50"/>
      <c r="J113" s="51" t="s">
        <v>70</v>
      </c>
      <c r="K113" s="51" t="s">
        <v>70</v>
      </c>
      <c r="L113" s="48">
        <f>IF(OR(A113="",H113=""),"",IF(H113&lt;E113,IF(OR(J113="Oui",'00_Parametres'!$B$28="Oui"),H113,E113),H113))</f>
      </c>
      <c r="M113" s="48">
        <f>IF(OR(A113="",I113=""),"",IF(I113&gt;F113,IF(OR(K113="Oui",'00_Parametres'!$B$29="Oui"),I113,F113),I113))</f>
      </c>
      <c r="N113" s="52">
        <f t="shared" si="13"/>
        <v>0</v>
      </c>
      <c r="O113" s="52">
        <f t="shared" si="14"/>
        <v>0</v>
      </c>
      <c r="P113" s="53">
        <f t="shared" si="15"/>
        <v>0</v>
      </c>
      <c r="Q113" s="53">
        <f>IF(P113=0,0,MIN(P113,'00_Parametres'!$B$23))</f>
        <v>0</v>
      </c>
      <c r="R113" s="53">
        <f>IF(P113=0,0,MAX(0,P113-'00_Parametres'!$B$23))</f>
        <v>0</v>
      </c>
      <c r="S113" s="26"/>
      <c r="T113" s="26"/>
      <c r="U113" s="40"/>
    </row>
    <row r="114" ht="15" customHeight="1" spans="1:21" x14ac:dyDescent="0.25">
      <c r="A114" s="46"/>
      <c r="B114" s="26"/>
      <c r="C114" s="41">
        <f>IF(B114="","",IFERROR(VLOOKUP(B114,Employes[[ID]:[Nom Complet]],4,FALSE()),""))</f>
      </c>
      <c r="D114" s="47">
        <f t="shared" si="12"/>
      </c>
      <c r="E114" s="48">
        <f>IF(A114="","",IFERROR(INDEX('00_Parametres'!$C$7:$C$13,WEEKDAY(A114,2)),""))</f>
      </c>
      <c r="F114" s="48">
        <f>IF(A114="","",IFERROR(INDEX('00_Parametres'!$D$7:$D$13,WEEKDAY(A114,2)),""))</f>
      </c>
      <c r="G114" s="49">
        <f>IF(A114="","",IFERROR(INDEX('00_Parametres'!$E$7:$E$13,WEEKDAY(A114,2)),0))</f>
      </c>
      <c r="H114" s="50"/>
      <c r="I114" s="50"/>
      <c r="J114" s="51" t="s">
        <v>70</v>
      </c>
      <c r="K114" s="51" t="s">
        <v>70</v>
      </c>
      <c r="L114" s="48">
        <f>IF(OR(A114="",H114=""),"",IF(H114&lt;E114,IF(OR(J114="Oui",'00_Parametres'!$B$28="Oui"),H114,E114),H114))</f>
      </c>
      <c r="M114" s="48">
        <f>IF(OR(A114="",I114=""),"",IF(I114&gt;F114,IF(OR(K114="Oui",'00_Parametres'!$B$29="Oui"),I114,F114),I114))</f>
      </c>
      <c r="N114" s="52">
        <f t="shared" si="13"/>
        <v>0</v>
      </c>
      <c r="O114" s="52">
        <f t="shared" si="14"/>
        <v>0</v>
      </c>
      <c r="P114" s="53">
        <f t="shared" si="15"/>
        <v>0</v>
      </c>
      <c r="Q114" s="53">
        <f>IF(P114=0,0,MIN(P114,'00_Parametres'!$B$23))</f>
        <v>0</v>
      </c>
      <c r="R114" s="53">
        <f>IF(P114=0,0,MAX(0,P114-'00_Parametres'!$B$23))</f>
        <v>0</v>
      </c>
      <c r="S114" s="26"/>
      <c r="T114" s="26"/>
      <c r="U114" s="40"/>
    </row>
    <row r="115" ht="15" customHeight="1" spans="1:21" x14ac:dyDescent="0.25">
      <c r="A115" s="46"/>
      <c r="B115" s="26"/>
      <c r="C115" s="41">
        <f>IF(B115="","",IFERROR(VLOOKUP(B115,Employes[[ID]:[Nom Complet]],4,FALSE()),""))</f>
      </c>
      <c r="D115" s="47">
        <f t="shared" si="12"/>
      </c>
      <c r="E115" s="48">
        <f>IF(A115="","",IFERROR(INDEX('00_Parametres'!$C$7:$C$13,WEEKDAY(A115,2)),""))</f>
      </c>
      <c r="F115" s="48">
        <f>IF(A115="","",IFERROR(INDEX('00_Parametres'!$D$7:$D$13,WEEKDAY(A115,2)),""))</f>
      </c>
      <c r="G115" s="49">
        <f>IF(A115="","",IFERROR(INDEX('00_Parametres'!$E$7:$E$13,WEEKDAY(A115,2)),0))</f>
      </c>
      <c r="H115" s="50"/>
      <c r="I115" s="50"/>
      <c r="J115" s="51" t="s">
        <v>70</v>
      </c>
      <c r="K115" s="51" t="s">
        <v>70</v>
      </c>
      <c r="L115" s="48">
        <f>IF(OR(A115="",H115=""),"",IF(H115&lt;E115,IF(OR(J115="Oui",'00_Parametres'!$B$28="Oui"),H115,E115),H115))</f>
      </c>
      <c r="M115" s="48">
        <f>IF(OR(A115="",I115=""),"",IF(I115&gt;F115,IF(OR(K115="Oui",'00_Parametres'!$B$29="Oui"),I115,F115),I115))</f>
      </c>
      <c r="N115" s="52">
        <f t="shared" si="13"/>
        <v>0</v>
      </c>
      <c r="O115" s="52">
        <f t="shared" si="14"/>
        <v>0</v>
      </c>
      <c r="P115" s="53">
        <f t="shared" si="15"/>
        <v>0</v>
      </c>
      <c r="Q115" s="53">
        <f>IF(P115=0,0,MIN(P115,'00_Parametres'!$B$23))</f>
        <v>0</v>
      </c>
      <c r="R115" s="53">
        <f>IF(P115=0,0,MAX(0,P115-'00_Parametres'!$B$23))</f>
        <v>0</v>
      </c>
      <c r="S115" s="26"/>
      <c r="T115" s="26"/>
      <c r="U115" s="40"/>
    </row>
    <row r="116" ht="15" customHeight="1" spans="1:21" x14ac:dyDescent="0.25">
      <c r="A116" s="46"/>
      <c r="B116" s="26"/>
      <c r="C116" s="41">
        <f>IF(B116="","",IFERROR(VLOOKUP(B116,Employes[[ID]:[Nom Complet]],4,FALSE()),""))</f>
      </c>
      <c r="D116" s="47">
        <f t="shared" si="12"/>
      </c>
      <c r="E116" s="48">
        <f>IF(A116="","",IFERROR(INDEX('00_Parametres'!$C$7:$C$13,WEEKDAY(A116,2)),""))</f>
      </c>
      <c r="F116" s="48">
        <f>IF(A116="","",IFERROR(INDEX('00_Parametres'!$D$7:$D$13,WEEKDAY(A116,2)),""))</f>
      </c>
      <c r="G116" s="49">
        <f>IF(A116="","",IFERROR(INDEX('00_Parametres'!$E$7:$E$13,WEEKDAY(A116,2)),0))</f>
      </c>
      <c r="H116" s="50"/>
      <c r="I116" s="50"/>
      <c r="J116" s="51" t="s">
        <v>70</v>
      </c>
      <c r="K116" s="51" t="s">
        <v>70</v>
      </c>
      <c r="L116" s="48">
        <f>IF(OR(A116="",H116=""),"",IF(H116&lt;E116,IF(OR(J116="Oui",'00_Parametres'!$B$28="Oui"),H116,E116),H116))</f>
      </c>
      <c r="M116" s="48">
        <f>IF(OR(A116="",I116=""),"",IF(I116&gt;F116,IF(OR(K116="Oui",'00_Parametres'!$B$29="Oui"),I116,F116),I116))</f>
      </c>
      <c r="N116" s="52">
        <f t="shared" si="13"/>
        <v>0</v>
      </c>
      <c r="O116" s="52">
        <f t="shared" si="14"/>
        <v>0</v>
      </c>
      <c r="P116" s="53">
        <f t="shared" si="15"/>
        <v>0</v>
      </c>
      <c r="Q116" s="53">
        <f>IF(P116=0,0,MIN(P116,'00_Parametres'!$B$23))</f>
        <v>0</v>
      </c>
      <c r="R116" s="53">
        <f>IF(P116=0,0,MAX(0,P116-'00_Parametres'!$B$23))</f>
        <v>0</v>
      </c>
      <c r="S116" s="26"/>
      <c r="T116" s="26"/>
      <c r="U116" s="40"/>
    </row>
    <row r="117" ht="15" customHeight="1" spans="1:21" x14ac:dyDescent="0.25">
      <c r="A117" s="46"/>
      <c r="B117" s="26"/>
      <c r="C117" s="41">
        <f>IF(B117="","",IFERROR(VLOOKUP(B117,Employes[[ID]:[Nom Complet]],4,FALSE()),""))</f>
      </c>
      <c r="D117" s="47">
        <f t="shared" si="12"/>
      </c>
      <c r="E117" s="48">
        <f>IF(A117="","",IFERROR(INDEX('00_Parametres'!$C$7:$C$13,WEEKDAY(A117,2)),""))</f>
      </c>
      <c r="F117" s="48">
        <f>IF(A117="","",IFERROR(INDEX('00_Parametres'!$D$7:$D$13,WEEKDAY(A117,2)),""))</f>
      </c>
      <c r="G117" s="49">
        <f>IF(A117="","",IFERROR(INDEX('00_Parametres'!$E$7:$E$13,WEEKDAY(A117,2)),0))</f>
      </c>
      <c r="H117" s="50"/>
      <c r="I117" s="50"/>
      <c r="J117" s="51" t="s">
        <v>70</v>
      </c>
      <c r="K117" s="51" t="s">
        <v>70</v>
      </c>
      <c r="L117" s="48">
        <f>IF(OR(A117="",H117=""),"",IF(H117&lt;E117,IF(OR(J117="Oui",'00_Parametres'!$B$28="Oui"),H117,E117),H117))</f>
      </c>
      <c r="M117" s="48">
        <f>IF(OR(A117="",I117=""),"",IF(I117&gt;F117,IF(OR(K117="Oui",'00_Parametres'!$B$29="Oui"),I117,F117),I117))</f>
      </c>
      <c r="N117" s="52">
        <f t="shared" si="13"/>
        <v>0</v>
      </c>
      <c r="O117" s="52">
        <f t="shared" si="14"/>
        <v>0</v>
      </c>
      <c r="P117" s="53">
        <f t="shared" si="15"/>
        <v>0</v>
      </c>
      <c r="Q117" s="53">
        <f>IF(P117=0,0,MIN(P117,'00_Parametres'!$B$23))</f>
        <v>0</v>
      </c>
      <c r="R117" s="53">
        <f>IF(P117=0,0,MAX(0,P117-'00_Parametres'!$B$23))</f>
        <v>0</v>
      </c>
      <c r="S117" s="26"/>
      <c r="T117" s="26"/>
      <c r="U117" s="40"/>
    </row>
    <row r="118" ht="15" customHeight="1" spans="1:21" x14ac:dyDescent="0.25">
      <c r="A118" s="46"/>
      <c r="B118" s="26"/>
      <c r="C118" s="41">
        <f>IF(B118="","",IFERROR(VLOOKUP(B118,Employes[[ID]:[Nom Complet]],4,FALSE()),""))</f>
      </c>
      <c r="D118" s="47">
        <f t="shared" si="12"/>
      </c>
      <c r="E118" s="48">
        <f>IF(A118="","",IFERROR(INDEX('00_Parametres'!$C$7:$C$13,WEEKDAY(A118,2)),""))</f>
      </c>
      <c r="F118" s="48">
        <f>IF(A118="","",IFERROR(INDEX('00_Parametres'!$D$7:$D$13,WEEKDAY(A118,2)),""))</f>
      </c>
      <c r="G118" s="49">
        <f>IF(A118="","",IFERROR(INDEX('00_Parametres'!$E$7:$E$13,WEEKDAY(A118,2)),0))</f>
      </c>
      <c r="H118" s="50"/>
      <c r="I118" s="50"/>
      <c r="J118" s="51" t="s">
        <v>70</v>
      </c>
      <c r="K118" s="51" t="s">
        <v>70</v>
      </c>
      <c r="L118" s="48">
        <f>IF(OR(A118="",H118=""),"",IF(H118&lt;E118,IF(OR(J118="Oui",'00_Parametres'!$B$28="Oui"),H118,E118),H118))</f>
      </c>
      <c r="M118" s="48">
        <f>IF(OR(A118="",I118=""),"",IF(I118&gt;F118,IF(OR(K118="Oui",'00_Parametres'!$B$29="Oui"),I118,F118),I118))</f>
      </c>
      <c r="N118" s="52">
        <f t="shared" si="13"/>
        <v>0</v>
      </c>
      <c r="O118" s="52">
        <f t="shared" si="14"/>
        <v>0</v>
      </c>
      <c r="P118" s="53">
        <f t="shared" si="15"/>
        <v>0</v>
      </c>
      <c r="Q118" s="53">
        <f>IF(P118=0,0,MIN(P118,'00_Parametres'!$B$23))</f>
        <v>0</v>
      </c>
      <c r="R118" s="53">
        <f>IF(P118=0,0,MAX(0,P118-'00_Parametres'!$B$23))</f>
        <v>0</v>
      </c>
      <c r="S118" s="26"/>
      <c r="T118" s="26"/>
      <c r="U118" s="40"/>
    </row>
    <row r="119" ht="15" customHeight="1" spans="1:21" x14ac:dyDescent="0.25">
      <c r="A119" s="46"/>
      <c r="B119" s="26"/>
      <c r="C119" s="41">
        <f>IF(B119="","",IFERROR(VLOOKUP(B119,Employes[[ID]:[Nom Complet]],4,FALSE()),""))</f>
      </c>
      <c r="D119" s="47">
        <f t="shared" si="12"/>
      </c>
      <c r="E119" s="48">
        <f>IF(A119="","",IFERROR(INDEX('00_Parametres'!$C$7:$C$13,WEEKDAY(A119,2)),""))</f>
      </c>
      <c r="F119" s="48">
        <f>IF(A119="","",IFERROR(INDEX('00_Parametres'!$D$7:$D$13,WEEKDAY(A119,2)),""))</f>
      </c>
      <c r="G119" s="49">
        <f>IF(A119="","",IFERROR(INDEX('00_Parametres'!$E$7:$E$13,WEEKDAY(A119,2)),0))</f>
      </c>
      <c r="H119" s="50"/>
      <c r="I119" s="50"/>
      <c r="J119" s="51" t="s">
        <v>70</v>
      </c>
      <c r="K119" s="51" t="s">
        <v>70</v>
      </c>
      <c r="L119" s="48">
        <f>IF(OR(A119="",H119=""),"",IF(H119&lt;E119,IF(OR(J119="Oui",'00_Parametres'!$B$28="Oui"),H119,E119),H119))</f>
      </c>
      <c r="M119" s="48">
        <f>IF(OR(A119="",I119=""),"",IF(I119&gt;F119,IF(OR(K119="Oui",'00_Parametres'!$B$29="Oui"),I119,F119),I119))</f>
      </c>
      <c r="N119" s="52">
        <f t="shared" si="13"/>
        <v>0</v>
      </c>
      <c r="O119" s="52">
        <f t="shared" si="14"/>
        <v>0</v>
      </c>
      <c r="P119" s="53">
        <f t="shared" si="15"/>
        <v>0</v>
      </c>
      <c r="Q119" s="53">
        <f>IF(P119=0,0,MIN(P119,'00_Parametres'!$B$23))</f>
        <v>0</v>
      </c>
      <c r="R119" s="53">
        <f>IF(P119=0,0,MAX(0,P119-'00_Parametres'!$B$23))</f>
        <v>0</v>
      </c>
      <c r="S119" s="26"/>
      <c r="T119" s="26"/>
      <c r="U119" s="40"/>
    </row>
    <row r="120" ht="15" customHeight="1" spans="1:21" x14ac:dyDescent="0.25">
      <c r="A120" s="46"/>
      <c r="B120" s="26"/>
      <c r="C120" s="41">
        <f>IF(B120="","",IFERROR(VLOOKUP(B120,Employes[[ID]:[Nom Complet]],4,FALSE()),""))</f>
      </c>
      <c r="D120" s="47">
        <f t="shared" si="12"/>
      </c>
      <c r="E120" s="48">
        <f>IF(A120="","",IFERROR(INDEX('00_Parametres'!$C$7:$C$13,WEEKDAY(A120,2)),""))</f>
      </c>
      <c r="F120" s="48">
        <f>IF(A120="","",IFERROR(INDEX('00_Parametres'!$D$7:$D$13,WEEKDAY(A120,2)),""))</f>
      </c>
      <c r="G120" s="49">
        <f>IF(A120="","",IFERROR(INDEX('00_Parametres'!$E$7:$E$13,WEEKDAY(A120,2)),0))</f>
      </c>
      <c r="H120" s="50"/>
      <c r="I120" s="50"/>
      <c r="J120" s="51" t="s">
        <v>70</v>
      </c>
      <c r="K120" s="51" t="s">
        <v>70</v>
      </c>
      <c r="L120" s="48">
        <f>IF(OR(A120="",H120=""),"",IF(H120&lt;E120,IF(OR(J120="Oui",'00_Parametres'!$B$28="Oui"),H120,E120),H120))</f>
      </c>
      <c r="M120" s="48">
        <f>IF(OR(A120="",I120=""),"",IF(I120&gt;F120,IF(OR(K120="Oui",'00_Parametres'!$B$29="Oui"),I120,F120),I120))</f>
      </c>
      <c r="N120" s="52">
        <f t="shared" si="13"/>
        <v>0</v>
      </c>
      <c r="O120" s="52">
        <f t="shared" si="14"/>
        <v>0</v>
      </c>
      <c r="P120" s="53">
        <f t="shared" si="15"/>
        <v>0</v>
      </c>
      <c r="Q120" s="53">
        <f>IF(P120=0,0,MIN(P120,'00_Parametres'!$B$23))</f>
        <v>0</v>
      </c>
      <c r="R120" s="53">
        <f>IF(P120=0,0,MAX(0,P120-'00_Parametres'!$B$23))</f>
        <v>0</v>
      </c>
      <c r="S120" s="26"/>
      <c r="T120" s="26"/>
      <c r="U120" s="40"/>
    </row>
    <row r="121" ht="15" customHeight="1" spans="1:21" x14ac:dyDescent="0.25">
      <c r="A121" s="46"/>
      <c r="B121" s="26"/>
      <c r="C121" s="41">
        <f>IF(B121="","",IFERROR(VLOOKUP(B121,Employes[[ID]:[Nom Complet]],4,FALSE()),""))</f>
      </c>
      <c r="D121" s="47">
        <f t="shared" si="12"/>
      </c>
      <c r="E121" s="48">
        <f>IF(A121="","",IFERROR(INDEX('00_Parametres'!$C$7:$C$13,WEEKDAY(A121,2)),""))</f>
      </c>
      <c r="F121" s="48">
        <f>IF(A121="","",IFERROR(INDEX('00_Parametres'!$D$7:$D$13,WEEKDAY(A121,2)),""))</f>
      </c>
      <c r="G121" s="49">
        <f>IF(A121="","",IFERROR(INDEX('00_Parametres'!$E$7:$E$13,WEEKDAY(A121,2)),0))</f>
      </c>
      <c r="H121" s="50"/>
      <c r="I121" s="50"/>
      <c r="J121" s="51" t="s">
        <v>70</v>
      </c>
      <c r="K121" s="51" t="s">
        <v>70</v>
      </c>
      <c r="L121" s="48">
        <f>IF(OR(A121="",H121=""),"",IF(H121&lt;E121,IF(OR(J121="Oui",'00_Parametres'!$B$28="Oui"),H121,E121),H121))</f>
      </c>
      <c r="M121" s="48">
        <f>IF(OR(A121="",I121=""),"",IF(I121&gt;F121,IF(OR(K121="Oui",'00_Parametres'!$B$29="Oui"),I121,F121),I121))</f>
      </c>
      <c r="N121" s="52">
        <f t="shared" si="13"/>
        <v>0</v>
      </c>
      <c r="O121" s="52">
        <f t="shared" si="14"/>
        <v>0</v>
      </c>
      <c r="P121" s="53">
        <f t="shared" si="15"/>
        <v>0</v>
      </c>
      <c r="Q121" s="53">
        <f>IF(P121=0,0,MIN(P121,'00_Parametres'!$B$23))</f>
        <v>0</v>
      </c>
      <c r="R121" s="53">
        <f>IF(P121=0,0,MAX(0,P121-'00_Parametres'!$B$23))</f>
        <v>0</v>
      </c>
      <c r="S121" s="26"/>
      <c r="T121" s="26"/>
      <c r="U121" s="40"/>
    </row>
    <row r="122" ht="15" customHeight="1" spans="1:21" x14ac:dyDescent="0.25">
      <c r="A122" s="46"/>
      <c r="B122" s="26"/>
      <c r="C122" s="41">
        <f>IF(B122="","",IFERROR(VLOOKUP(B122,Employes[[ID]:[Nom Complet]],4,FALSE()),""))</f>
      </c>
      <c r="D122" s="47">
        <f t="shared" si="12"/>
      </c>
      <c r="E122" s="48">
        <f>IF(A122="","",IFERROR(INDEX('00_Parametres'!$C$7:$C$13,WEEKDAY(A122,2)),""))</f>
      </c>
      <c r="F122" s="48">
        <f>IF(A122="","",IFERROR(INDEX('00_Parametres'!$D$7:$D$13,WEEKDAY(A122,2)),""))</f>
      </c>
      <c r="G122" s="49">
        <f>IF(A122="","",IFERROR(INDEX('00_Parametres'!$E$7:$E$13,WEEKDAY(A122,2)),0))</f>
      </c>
      <c r="H122" s="50"/>
      <c r="I122" s="50"/>
      <c r="J122" s="51" t="s">
        <v>70</v>
      </c>
      <c r="K122" s="51" t="s">
        <v>70</v>
      </c>
      <c r="L122" s="48">
        <f>IF(OR(A122="",H122=""),"",IF(H122&lt;E122,IF(OR(J122="Oui",'00_Parametres'!$B$28="Oui"),H122,E122),H122))</f>
      </c>
      <c r="M122" s="48">
        <f>IF(OR(A122="",I122=""),"",IF(I122&gt;F122,IF(OR(K122="Oui",'00_Parametres'!$B$29="Oui"),I122,F122),I122))</f>
      </c>
      <c r="N122" s="52">
        <f t="shared" si="13"/>
        <v>0</v>
      </c>
      <c r="O122" s="52">
        <f t="shared" si="14"/>
        <v>0</v>
      </c>
      <c r="P122" s="53">
        <f t="shared" si="15"/>
        <v>0</v>
      </c>
      <c r="Q122" s="53">
        <f>IF(P122=0,0,MIN(P122,'00_Parametres'!$B$23))</f>
        <v>0</v>
      </c>
      <c r="R122" s="53">
        <f>IF(P122=0,0,MAX(0,P122-'00_Parametres'!$B$23))</f>
        <v>0</v>
      </c>
      <c r="S122" s="26"/>
      <c r="T122" s="26"/>
      <c r="U122" s="40"/>
    </row>
    <row r="123" ht="15" customHeight="1" spans="1:21" x14ac:dyDescent="0.25">
      <c r="A123" s="46"/>
      <c r="B123" s="26"/>
      <c r="C123" s="41">
        <f>IF(B123="","",IFERROR(VLOOKUP(B123,Employes[[ID]:[Nom Complet]],4,FALSE()),""))</f>
      </c>
      <c r="D123" s="47">
        <f t="shared" si="12"/>
      </c>
      <c r="E123" s="48">
        <f>IF(A123="","",IFERROR(INDEX('00_Parametres'!$C$7:$C$13,WEEKDAY(A123,2)),""))</f>
      </c>
      <c r="F123" s="48">
        <f>IF(A123="","",IFERROR(INDEX('00_Parametres'!$D$7:$D$13,WEEKDAY(A123,2)),""))</f>
      </c>
      <c r="G123" s="49">
        <f>IF(A123="","",IFERROR(INDEX('00_Parametres'!$E$7:$E$13,WEEKDAY(A123,2)),0))</f>
      </c>
      <c r="H123" s="50"/>
      <c r="I123" s="50"/>
      <c r="J123" s="51" t="s">
        <v>70</v>
      </c>
      <c r="K123" s="51" t="s">
        <v>70</v>
      </c>
      <c r="L123" s="48">
        <f>IF(OR(A123="",H123=""),"",IF(H123&lt;E123,IF(OR(J123="Oui",'00_Parametres'!$B$28="Oui"),H123,E123),H123))</f>
      </c>
      <c r="M123" s="48">
        <f>IF(OR(A123="",I123=""),"",IF(I123&gt;F123,IF(OR(K123="Oui",'00_Parametres'!$B$29="Oui"),I123,F123),I123))</f>
      </c>
      <c r="N123" s="52">
        <f t="shared" si="13"/>
        <v>0</v>
      </c>
      <c r="O123" s="52">
        <f t="shared" si="14"/>
        <v>0</v>
      </c>
      <c r="P123" s="53">
        <f t="shared" si="15"/>
        <v>0</v>
      </c>
      <c r="Q123" s="53">
        <f>IF(P123=0,0,MIN(P123,'00_Parametres'!$B$23))</f>
        <v>0</v>
      </c>
      <c r="R123" s="53">
        <f>IF(P123=0,0,MAX(0,P123-'00_Parametres'!$B$23))</f>
        <v>0</v>
      </c>
      <c r="S123" s="26"/>
      <c r="T123" s="26"/>
      <c r="U123" s="40"/>
    </row>
    <row r="124" ht="15" customHeight="1" spans="1:21" x14ac:dyDescent="0.25">
      <c r="A124" s="46"/>
      <c r="B124" s="26"/>
      <c r="C124" s="41">
        <f>IF(B124="","",IFERROR(VLOOKUP(B124,Employes[[ID]:[Nom Complet]],4,FALSE()),""))</f>
      </c>
      <c r="D124" s="47">
        <f t="shared" si="12"/>
      </c>
      <c r="E124" s="48">
        <f>IF(A124="","",IFERROR(INDEX('00_Parametres'!$C$7:$C$13,WEEKDAY(A124,2)),""))</f>
      </c>
      <c r="F124" s="48">
        <f>IF(A124="","",IFERROR(INDEX('00_Parametres'!$D$7:$D$13,WEEKDAY(A124,2)),""))</f>
      </c>
      <c r="G124" s="49">
        <f>IF(A124="","",IFERROR(INDEX('00_Parametres'!$E$7:$E$13,WEEKDAY(A124,2)),0))</f>
      </c>
      <c r="H124" s="50"/>
      <c r="I124" s="50"/>
      <c r="J124" s="51" t="s">
        <v>70</v>
      </c>
      <c r="K124" s="51" t="s">
        <v>70</v>
      </c>
      <c r="L124" s="48">
        <f>IF(OR(A124="",H124=""),"",IF(H124&lt;E124,IF(OR(J124="Oui",'00_Parametres'!$B$28="Oui"),H124,E124),H124))</f>
      </c>
      <c r="M124" s="48">
        <f>IF(OR(A124="",I124=""),"",IF(I124&gt;F124,IF(OR(K124="Oui",'00_Parametres'!$B$29="Oui"),I124,F124),I124))</f>
      </c>
      <c r="N124" s="52">
        <f t="shared" si="13"/>
        <v>0</v>
      </c>
      <c r="O124" s="52">
        <f t="shared" si="14"/>
        <v>0</v>
      </c>
      <c r="P124" s="53">
        <f t="shared" si="15"/>
        <v>0</v>
      </c>
      <c r="Q124" s="53">
        <f>IF(P124=0,0,MIN(P124,'00_Parametres'!$B$23))</f>
        <v>0</v>
      </c>
      <c r="R124" s="53">
        <f>IF(P124=0,0,MAX(0,P124-'00_Parametres'!$B$23))</f>
        <v>0</v>
      </c>
      <c r="S124" s="26"/>
      <c r="T124" s="26"/>
      <c r="U124" s="40"/>
    </row>
    <row r="125" ht="15" customHeight="1" spans="1:21" x14ac:dyDescent="0.25">
      <c r="A125" s="46"/>
      <c r="B125" s="26"/>
      <c r="C125" s="41">
        <f>IF(B125="","",IFERROR(VLOOKUP(B125,Employes[[ID]:[Nom Complet]],4,FALSE()),""))</f>
      </c>
      <c r="D125" s="47">
        <f t="shared" si="12"/>
      </c>
      <c r="E125" s="48">
        <f>IF(A125="","",IFERROR(INDEX('00_Parametres'!$C$7:$C$13,WEEKDAY(A125,2)),""))</f>
      </c>
      <c r="F125" s="48">
        <f>IF(A125="","",IFERROR(INDEX('00_Parametres'!$D$7:$D$13,WEEKDAY(A125,2)),""))</f>
      </c>
      <c r="G125" s="49">
        <f>IF(A125="","",IFERROR(INDEX('00_Parametres'!$E$7:$E$13,WEEKDAY(A125,2)),0))</f>
      </c>
      <c r="H125" s="50"/>
      <c r="I125" s="50"/>
      <c r="J125" s="51" t="s">
        <v>70</v>
      </c>
      <c r="K125" s="51" t="s">
        <v>70</v>
      </c>
      <c r="L125" s="48">
        <f>IF(OR(A125="",H125=""),"",IF(H125&lt;E125,IF(OR(J125="Oui",'00_Parametres'!$B$28="Oui"),H125,E125),H125))</f>
      </c>
      <c r="M125" s="48">
        <f>IF(OR(A125="",I125=""),"",IF(I125&gt;F125,IF(OR(K125="Oui",'00_Parametres'!$B$29="Oui"),I125,F125),I125))</f>
      </c>
      <c r="N125" s="52">
        <f t="shared" si="13"/>
        <v>0</v>
      </c>
      <c r="O125" s="52">
        <f t="shared" si="14"/>
        <v>0</v>
      </c>
      <c r="P125" s="53">
        <f t="shared" si="15"/>
        <v>0</v>
      </c>
      <c r="Q125" s="53">
        <f>IF(P125=0,0,MIN(P125,'00_Parametres'!$B$23))</f>
        <v>0</v>
      </c>
      <c r="R125" s="53">
        <f>IF(P125=0,0,MAX(0,P125-'00_Parametres'!$B$23))</f>
        <v>0</v>
      </c>
      <c r="S125" s="26"/>
      <c r="T125" s="26"/>
      <c r="U125" s="40"/>
    </row>
    <row r="126" ht="15" customHeight="1" spans="1:21" x14ac:dyDescent="0.25">
      <c r="A126" s="46"/>
      <c r="B126" s="26"/>
      <c r="C126" s="41">
        <f>IF(B126="","",IFERROR(VLOOKUP(B126,Employes[[ID]:[Nom Complet]],4,FALSE()),""))</f>
      </c>
      <c r="D126" s="47">
        <f t="shared" si="12"/>
      </c>
      <c r="E126" s="48">
        <f>IF(A126="","",IFERROR(INDEX('00_Parametres'!$C$7:$C$13,WEEKDAY(A126,2)),""))</f>
      </c>
      <c r="F126" s="48">
        <f>IF(A126="","",IFERROR(INDEX('00_Parametres'!$D$7:$D$13,WEEKDAY(A126,2)),""))</f>
      </c>
      <c r="G126" s="49">
        <f>IF(A126="","",IFERROR(INDEX('00_Parametres'!$E$7:$E$13,WEEKDAY(A126,2)),0))</f>
      </c>
      <c r="H126" s="50"/>
      <c r="I126" s="50"/>
      <c r="J126" s="51" t="s">
        <v>70</v>
      </c>
      <c r="K126" s="51" t="s">
        <v>70</v>
      </c>
      <c r="L126" s="48">
        <f>IF(OR(A126="",H126=""),"",IF(H126&lt;E126,IF(OR(J126="Oui",'00_Parametres'!$B$28="Oui"),H126,E126),H126))</f>
      </c>
      <c r="M126" s="48">
        <f>IF(OR(A126="",I126=""),"",IF(I126&gt;F126,IF(OR(K126="Oui",'00_Parametres'!$B$29="Oui"),I126,F126),I126))</f>
      </c>
      <c r="N126" s="52">
        <f t="shared" si="13"/>
        <v>0</v>
      </c>
      <c r="O126" s="52">
        <f t="shared" si="14"/>
        <v>0</v>
      </c>
      <c r="P126" s="53">
        <f t="shared" si="15"/>
        <v>0</v>
      </c>
      <c r="Q126" s="53">
        <f>IF(P126=0,0,MIN(P126,'00_Parametres'!$B$23))</f>
        <v>0</v>
      </c>
      <c r="R126" s="53">
        <f>IF(P126=0,0,MAX(0,P126-'00_Parametres'!$B$23))</f>
        <v>0</v>
      </c>
      <c r="S126" s="26"/>
      <c r="T126" s="26"/>
      <c r="U126" s="40"/>
    </row>
    <row r="127" ht="15" customHeight="1" spans="1:21" x14ac:dyDescent="0.25">
      <c r="A127" s="46"/>
      <c r="B127" s="26"/>
      <c r="C127" s="41">
        <f>IF(B127="","",IFERROR(VLOOKUP(B127,Employes[[ID]:[Nom Complet]],4,FALSE()),""))</f>
      </c>
      <c r="D127" s="47">
        <f t="shared" si="12"/>
      </c>
      <c r="E127" s="48">
        <f>IF(A127="","",IFERROR(INDEX('00_Parametres'!$C$7:$C$13,WEEKDAY(A127,2)),""))</f>
      </c>
      <c r="F127" s="48">
        <f>IF(A127="","",IFERROR(INDEX('00_Parametres'!$D$7:$D$13,WEEKDAY(A127,2)),""))</f>
      </c>
      <c r="G127" s="49">
        <f>IF(A127="","",IFERROR(INDEX('00_Parametres'!$E$7:$E$13,WEEKDAY(A127,2)),0))</f>
      </c>
      <c r="H127" s="50"/>
      <c r="I127" s="50"/>
      <c r="J127" s="51" t="s">
        <v>70</v>
      </c>
      <c r="K127" s="51" t="s">
        <v>70</v>
      </c>
      <c r="L127" s="48">
        <f>IF(OR(A127="",H127=""),"",IF(H127&lt;E127,IF(OR(J127="Oui",'00_Parametres'!$B$28="Oui"),H127,E127),H127))</f>
      </c>
      <c r="M127" s="48">
        <f>IF(OR(A127="",I127=""),"",IF(I127&gt;F127,IF(OR(K127="Oui",'00_Parametres'!$B$29="Oui"),I127,F127),I127))</f>
      </c>
      <c r="N127" s="52">
        <f t="shared" si="13"/>
        <v>0</v>
      </c>
      <c r="O127" s="52">
        <f t="shared" si="14"/>
        <v>0</v>
      </c>
      <c r="P127" s="53">
        <f t="shared" si="15"/>
        <v>0</v>
      </c>
      <c r="Q127" s="53">
        <f>IF(P127=0,0,MIN(P127,'00_Parametres'!$B$23))</f>
        <v>0</v>
      </c>
      <c r="R127" s="53">
        <f>IF(P127=0,0,MAX(0,P127-'00_Parametres'!$B$23))</f>
        <v>0</v>
      </c>
      <c r="S127" s="26"/>
      <c r="T127" s="26"/>
      <c r="U127" s="40"/>
    </row>
    <row r="128" ht="15" customHeight="1" spans="1:21" x14ac:dyDescent="0.25">
      <c r="A128" s="46"/>
      <c r="B128" s="26"/>
      <c r="C128" s="41">
        <f>IF(B128="","",IFERROR(VLOOKUP(B128,Employes[[ID]:[Nom Complet]],4,FALSE()),""))</f>
      </c>
      <c r="D128" s="47">
        <f t="shared" si="12"/>
      </c>
      <c r="E128" s="48">
        <f>IF(A128="","",IFERROR(INDEX('00_Parametres'!$C$7:$C$13,WEEKDAY(A128,2)),""))</f>
      </c>
      <c r="F128" s="48">
        <f>IF(A128="","",IFERROR(INDEX('00_Parametres'!$D$7:$D$13,WEEKDAY(A128,2)),""))</f>
      </c>
      <c r="G128" s="49">
        <f>IF(A128="","",IFERROR(INDEX('00_Parametres'!$E$7:$E$13,WEEKDAY(A128,2)),0))</f>
      </c>
      <c r="H128" s="50"/>
      <c r="I128" s="50"/>
      <c r="J128" s="51" t="s">
        <v>70</v>
      </c>
      <c r="K128" s="51" t="s">
        <v>70</v>
      </c>
      <c r="L128" s="48">
        <f>IF(OR(A128="",H128=""),"",IF(H128&lt;E128,IF(OR(J128="Oui",'00_Parametres'!$B$28="Oui"),H128,E128),H128))</f>
      </c>
      <c r="M128" s="48">
        <f>IF(OR(A128="",I128=""),"",IF(I128&gt;F128,IF(OR(K128="Oui",'00_Parametres'!$B$29="Oui"),I128,F128),I128))</f>
      </c>
      <c r="N128" s="52">
        <f t="shared" si="13"/>
        <v>0</v>
      </c>
      <c r="O128" s="52">
        <f t="shared" si="14"/>
        <v>0</v>
      </c>
      <c r="P128" s="53">
        <f t="shared" si="15"/>
        <v>0</v>
      </c>
      <c r="Q128" s="53">
        <f>IF(P128=0,0,MIN(P128,'00_Parametres'!$B$23))</f>
        <v>0</v>
      </c>
      <c r="R128" s="53">
        <f>IF(P128=0,0,MAX(0,P128-'00_Parametres'!$B$23))</f>
        <v>0</v>
      </c>
      <c r="S128" s="26"/>
      <c r="T128" s="26"/>
      <c r="U128" s="40"/>
    </row>
    <row r="129" ht="15" customHeight="1" spans="1:21" x14ac:dyDescent="0.25">
      <c r="A129" s="46"/>
      <c r="B129" s="26"/>
      <c r="C129" s="41">
        <f>IF(B129="","",IFERROR(VLOOKUP(B129,Employes[[ID]:[Nom Complet]],4,FALSE()),""))</f>
      </c>
      <c r="D129" s="47">
        <f t="shared" si="12"/>
      </c>
      <c r="E129" s="48">
        <f>IF(A129="","",IFERROR(INDEX('00_Parametres'!$C$7:$C$13,WEEKDAY(A129,2)),""))</f>
      </c>
      <c r="F129" s="48">
        <f>IF(A129="","",IFERROR(INDEX('00_Parametres'!$D$7:$D$13,WEEKDAY(A129,2)),""))</f>
      </c>
      <c r="G129" s="49">
        <f>IF(A129="","",IFERROR(INDEX('00_Parametres'!$E$7:$E$13,WEEKDAY(A129,2)),0))</f>
      </c>
      <c r="H129" s="50"/>
      <c r="I129" s="50"/>
      <c r="J129" s="51" t="s">
        <v>70</v>
      </c>
      <c r="K129" s="51" t="s">
        <v>70</v>
      </c>
      <c r="L129" s="48">
        <f>IF(OR(A129="",H129=""),"",IF(H129&lt;E129,IF(OR(J129="Oui",'00_Parametres'!$B$28="Oui"),H129,E129),H129))</f>
      </c>
      <c r="M129" s="48">
        <f>IF(OR(A129="",I129=""),"",IF(I129&gt;F129,IF(OR(K129="Oui",'00_Parametres'!$B$29="Oui"),I129,F129),I129))</f>
      </c>
      <c r="N129" s="52">
        <f t="shared" si="13"/>
        <v>0</v>
      </c>
      <c r="O129" s="52">
        <f t="shared" si="14"/>
        <v>0</v>
      </c>
      <c r="P129" s="53">
        <f t="shared" si="15"/>
        <v>0</v>
      </c>
      <c r="Q129" s="53">
        <f>IF(P129=0,0,MIN(P129,'00_Parametres'!$B$23))</f>
        <v>0</v>
      </c>
      <c r="R129" s="53">
        <f>IF(P129=0,0,MAX(0,P129-'00_Parametres'!$B$23))</f>
        <v>0</v>
      </c>
      <c r="S129" s="26"/>
      <c r="T129" s="26"/>
      <c r="U129" s="40"/>
    </row>
    <row r="130" ht="15" customHeight="1" spans="1:21" x14ac:dyDescent="0.25">
      <c r="A130" s="46"/>
      <c r="B130" s="26"/>
      <c r="C130" s="41">
        <f>IF(B130="","",IFERROR(VLOOKUP(B130,Employes[[ID]:[Nom Complet]],4,FALSE()),""))</f>
      </c>
      <c r="D130" s="47">
        <f t="shared" si="12"/>
      </c>
      <c r="E130" s="48">
        <f>IF(A130="","",IFERROR(INDEX('00_Parametres'!$C$7:$C$13,WEEKDAY(A130,2)),""))</f>
      </c>
      <c r="F130" s="48">
        <f>IF(A130="","",IFERROR(INDEX('00_Parametres'!$D$7:$D$13,WEEKDAY(A130,2)),""))</f>
      </c>
      <c r="G130" s="49">
        <f>IF(A130="","",IFERROR(INDEX('00_Parametres'!$E$7:$E$13,WEEKDAY(A130,2)),0))</f>
      </c>
      <c r="H130" s="50"/>
      <c r="I130" s="50"/>
      <c r="J130" s="51" t="s">
        <v>70</v>
      </c>
      <c r="K130" s="51" t="s">
        <v>70</v>
      </c>
      <c r="L130" s="48">
        <f>IF(OR(A130="",H130=""),"",IF(H130&lt;E130,IF(OR(J130="Oui",'00_Parametres'!$B$28="Oui"),H130,E130),H130))</f>
      </c>
      <c r="M130" s="48">
        <f>IF(OR(A130="",I130=""),"",IF(I130&gt;F130,IF(OR(K130="Oui",'00_Parametres'!$B$29="Oui"),I130,F130),I130))</f>
      </c>
      <c r="N130" s="52">
        <f t="shared" si="13"/>
        <v>0</v>
      </c>
      <c r="O130" s="52">
        <f t="shared" si="14"/>
        <v>0</v>
      </c>
      <c r="P130" s="53">
        <f t="shared" si="15"/>
        <v>0</v>
      </c>
      <c r="Q130" s="53">
        <f>IF(P130=0,0,MIN(P130,'00_Parametres'!$B$23))</f>
        <v>0</v>
      </c>
      <c r="R130" s="53">
        <f>IF(P130=0,0,MAX(0,P130-'00_Parametres'!$B$23))</f>
        <v>0</v>
      </c>
      <c r="S130" s="26"/>
      <c r="T130" s="26"/>
      <c r="U130" s="40"/>
    </row>
    <row r="131" ht="15" customHeight="1" spans="1:21" x14ac:dyDescent="0.25">
      <c r="A131" s="46"/>
      <c r="B131" s="26"/>
      <c r="C131" s="41">
        <f>IF(B131="","",IFERROR(VLOOKUP(B131,Employes[[ID]:[Nom Complet]],4,FALSE()),""))</f>
      </c>
      <c r="D131" s="47">
        <f t="shared" si="12"/>
      </c>
      <c r="E131" s="48">
        <f>IF(A131="","",IFERROR(INDEX('00_Parametres'!$C$7:$C$13,WEEKDAY(A131,2)),""))</f>
      </c>
      <c r="F131" s="48">
        <f>IF(A131="","",IFERROR(INDEX('00_Parametres'!$D$7:$D$13,WEEKDAY(A131,2)),""))</f>
      </c>
      <c r="G131" s="49">
        <f>IF(A131="","",IFERROR(INDEX('00_Parametres'!$E$7:$E$13,WEEKDAY(A131,2)),0))</f>
      </c>
      <c r="H131" s="50"/>
      <c r="I131" s="50"/>
      <c r="J131" s="51" t="s">
        <v>70</v>
      </c>
      <c r="K131" s="51" t="s">
        <v>70</v>
      </c>
      <c r="L131" s="48">
        <f>IF(OR(A131="",H131=""),"",IF(H131&lt;E131,IF(OR(J131="Oui",'00_Parametres'!$B$28="Oui"),H131,E131),H131))</f>
      </c>
      <c r="M131" s="48">
        <f>IF(OR(A131="",I131=""),"",IF(I131&gt;F131,IF(OR(K131="Oui",'00_Parametres'!$B$29="Oui"),I131,F131),I131))</f>
      </c>
      <c r="N131" s="52">
        <f t="shared" si="13"/>
        <v>0</v>
      </c>
      <c r="O131" s="52">
        <f t="shared" si="14"/>
        <v>0</v>
      </c>
      <c r="P131" s="53">
        <f t="shared" si="15"/>
        <v>0</v>
      </c>
      <c r="Q131" s="53">
        <f>IF(P131=0,0,MIN(P131,'00_Parametres'!$B$23))</f>
        <v>0</v>
      </c>
      <c r="R131" s="53">
        <f>IF(P131=0,0,MAX(0,P131-'00_Parametres'!$B$23))</f>
        <v>0</v>
      </c>
      <c r="S131" s="26"/>
      <c r="T131" s="26"/>
      <c r="U131" s="40"/>
    </row>
    <row r="132" ht="15" customHeight="1" spans="1:21" x14ac:dyDescent="0.25">
      <c r="A132" s="46"/>
      <c r="B132" s="26"/>
      <c r="C132" s="41">
        <f>IF(B132="","",IFERROR(VLOOKUP(B132,Employes[[ID]:[Nom Complet]],4,FALSE()),""))</f>
      </c>
      <c r="D132" s="47">
        <f t="shared" si="12"/>
      </c>
      <c r="E132" s="48">
        <f>IF(A132="","",IFERROR(INDEX('00_Parametres'!$C$7:$C$13,WEEKDAY(A132,2)),""))</f>
      </c>
      <c r="F132" s="48">
        <f>IF(A132="","",IFERROR(INDEX('00_Parametres'!$D$7:$D$13,WEEKDAY(A132,2)),""))</f>
      </c>
      <c r="G132" s="49">
        <f>IF(A132="","",IFERROR(INDEX('00_Parametres'!$E$7:$E$13,WEEKDAY(A132,2)),0))</f>
      </c>
      <c r="H132" s="50"/>
      <c r="I132" s="50"/>
      <c r="J132" s="51" t="s">
        <v>70</v>
      </c>
      <c r="K132" s="51" t="s">
        <v>70</v>
      </c>
      <c r="L132" s="48">
        <f>IF(OR(A132="",H132=""),"",IF(H132&lt;E132,IF(OR(J132="Oui",'00_Parametres'!$B$28="Oui"),H132,E132),H132))</f>
      </c>
      <c r="M132" s="48">
        <f>IF(OR(A132="",I132=""),"",IF(I132&gt;F132,IF(OR(K132="Oui",'00_Parametres'!$B$29="Oui"),I132,F132),I132))</f>
      </c>
      <c r="N132" s="52">
        <f t="shared" si="13"/>
        <v>0</v>
      </c>
      <c r="O132" s="52">
        <f t="shared" si="14"/>
        <v>0</v>
      </c>
      <c r="P132" s="53">
        <f t="shared" si="15"/>
        <v>0</v>
      </c>
      <c r="Q132" s="53">
        <f>IF(P132=0,0,MIN(P132,'00_Parametres'!$B$23))</f>
        <v>0</v>
      </c>
      <c r="R132" s="53">
        <f>IF(P132=0,0,MAX(0,P132-'00_Parametres'!$B$23))</f>
        <v>0</v>
      </c>
      <c r="S132" s="26"/>
      <c r="T132" s="26"/>
      <c r="U132" s="40"/>
    </row>
    <row r="133" ht="15" customHeight="1" spans="1:21" x14ac:dyDescent="0.25">
      <c r="A133" s="46"/>
      <c r="B133" s="26"/>
      <c r="C133" s="41">
        <f>IF(B133="","",IFERROR(VLOOKUP(B133,Employes[[ID]:[Nom Complet]],4,FALSE()),""))</f>
      </c>
      <c r="D133" s="47">
        <f t="shared" si="12"/>
      </c>
      <c r="E133" s="48">
        <f>IF(A133="","",IFERROR(INDEX('00_Parametres'!$C$7:$C$13,WEEKDAY(A133,2)),""))</f>
      </c>
      <c r="F133" s="48">
        <f>IF(A133="","",IFERROR(INDEX('00_Parametres'!$D$7:$D$13,WEEKDAY(A133,2)),""))</f>
      </c>
      <c r="G133" s="49">
        <f>IF(A133="","",IFERROR(INDEX('00_Parametres'!$E$7:$E$13,WEEKDAY(A133,2)),0))</f>
      </c>
      <c r="H133" s="50"/>
      <c r="I133" s="50"/>
      <c r="J133" s="51" t="s">
        <v>70</v>
      </c>
      <c r="K133" s="51" t="s">
        <v>70</v>
      </c>
      <c r="L133" s="48">
        <f>IF(OR(A133="",H133=""),"",IF(H133&lt;E133,IF(OR(J133="Oui",'00_Parametres'!$B$28="Oui"),H133,E133),H133))</f>
      </c>
      <c r="M133" s="48">
        <f>IF(OR(A133="",I133=""),"",IF(I133&gt;F133,IF(OR(K133="Oui",'00_Parametres'!$B$29="Oui"),I133,F133),I133))</f>
      </c>
      <c r="N133" s="52">
        <f t="shared" si="13"/>
        <v>0</v>
      </c>
      <c r="O133" s="52">
        <f t="shared" si="14"/>
        <v>0</v>
      </c>
      <c r="P133" s="53">
        <f t="shared" si="15"/>
        <v>0</v>
      </c>
      <c r="Q133" s="53">
        <f>IF(P133=0,0,MIN(P133,'00_Parametres'!$B$23))</f>
        <v>0</v>
      </c>
      <c r="R133" s="53">
        <f>IF(P133=0,0,MAX(0,P133-'00_Parametres'!$B$23))</f>
        <v>0</v>
      </c>
      <c r="S133" s="26"/>
      <c r="T133" s="26"/>
      <c r="U133" s="40"/>
    </row>
    <row r="134" ht="15" customHeight="1" spans="1:21" x14ac:dyDescent="0.25">
      <c r="A134" s="46"/>
      <c r="B134" s="26"/>
      <c r="C134" s="41">
        <f>IF(B134="","",IFERROR(VLOOKUP(B134,Employes[[ID]:[Nom Complet]],4,FALSE()),""))</f>
      </c>
      <c r="D134" s="47">
        <f t="shared" ref="D134:D150" si="16">IF(A134="","",TEXT(A134,"dddd"))</f>
      </c>
      <c r="E134" s="48">
        <f>IF(A134="","",IFERROR(INDEX('00_Parametres'!$C$7:$C$13,WEEKDAY(A134,2)),""))</f>
      </c>
      <c r="F134" s="48">
        <f>IF(A134="","",IFERROR(INDEX('00_Parametres'!$D$7:$D$13,WEEKDAY(A134,2)),""))</f>
      </c>
      <c r="G134" s="49">
        <f>IF(A134="","",IFERROR(INDEX('00_Parametres'!$E$7:$E$13,WEEKDAY(A134,2)),0))</f>
      </c>
      <c r="H134" s="50"/>
      <c r="I134" s="50"/>
      <c r="J134" s="51" t="s">
        <v>70</v>
      </c>
      <c r="K134" s="51" t="s">
        <v>70</v>
      </c>
      <c r="L134" s="48">
        <f>IF(OR(A134="",H134=""),"",IF(H134&lt;E134,IF(OR(J134="Oui",'00_Parametres'!$B$28="Oui"),H134,E134),H134))</f>
      </c>
      <c r="M134" s="48">
        <f>IF(OR(A134="",I134=""),"",IF(I134&gt;F134,IF(OR(K134="Oui",'00_Parametres'!$B$29="Oui"),I134,F134),I134))</f>
      </c>
      <c r="N134" s="52">
        <f t="shared" ref="N134:N150" si="17">IF(OR(A134="",H134="",E134=""),0,MAX(0,ROUND((H134-E134)*1440,0)))</f>
        <v>0</v>
      </c>
      <c r="O134" s="52">
        <f t="shared" ref="O134:O150" si="18">IF(OR(A134="",I134="",F134=""),0,MAX(0,ROUND((F134-I134)*1440,0)))</f>
        <v>0</v>
      </c>
      <c r="P134" s="53">
        <f t="shared" ref="P134:P150" si="19">IF(OR(L134="",M134=""),0,MAX(0,ROUND((M134-L134)*24-G134,2)))</f>
        <v>0</v>
      </c>
      <c r="Q134" s="53">
        <f>IF(P134=0,0,MIN(P134,'00_Parametres'!$B$23))</f>
        <v>0</v>
      </c>
      <c r="R134" s="53">
        <f>IF(P134=0,0,MAX(0,P134-'00_Parametres'!$B$23))</f>
        <v>0</v>
      </c>
      <c r="S134" s="26"/>
      <c r="T134" s="26"/>
      <c r="U134" s="40"/>
    </row>
    <row r="135" ht="15" customHeight="1" spans="1:21" x14ac:dyDescent="0.25">
      <c r="A135" s="46"/>
      <c r="B135" s="26"/>
      <c r="C135" s="41">
        <f>IF(B135="","",IFERROR(VLOOKUP(B135,Employes[[ID]:[Nom Complet]],4,FALSE()),""))</f>
      </c>
      <c r="D135" s="47">
        <f t="shared" si="16"/>
      </c>
      <c r="E135" s="48">
        <f>IF(A135="","",IFERROR(INDEX('00_Parametres'!$C$7:$C$13,WEEKDAY(A135,2)),""))</f>
      </c>
      <c r="F135" s="48">
        <f>IF(A135="","",IFERROR(INDEX('00_Parametres'!$D$7:$D$13,WEEKDAY(A135,2)),""))</f>
      </c>
      <c r="G135" s="49">
        <f>IF(A135="","",IFERROR(INDEX('00_Parametres'!$E$7:$E$13,WEEKDAY(A135,2)),0))</f>
      </c>
      <c r="H135" s="50"/>
      <c r="I135" s="50"/>
      <c r="J135" s="51" t="s">
        <v>70</v>
      </c>
      <c r="K135" s="51" t="s">
        <v>70</v>
      </c>
      <c r="L135" s="48">
        <f>IF(OR(A135="",H135=""),"",IF(H135&lt;E135,IF(OR(J135="Oui",'00_Parametres'!$B$28="Oui"),H135,E135),H135))</f>
      </c>
      <c r="M135" s="48">
        <f>IF(OR(A135="",I135=""),"",IF(I135&gt;F135,IF(OR(K135="Oui",'00_Parametres'!$B$29="Oui"),I135,F135),I135))</f>
      </c>
      <c r="N135" s="52">
        <f t="shared" si="17"/>
        <v>0</v>
      </c>
      <c r="O135" s="52">
        <f t="shared" si="18"/>
        <v>0</v>
      </c>
      <c r="P135" s="53">
        <f t="shared" si="19"/>
        <v>0</v>
      </c>
      <c r="Q135" s="53">
        <f>IF(P135=0,0,MIN(P135,'00_Parametres'!$B$23))</f>
        <v>0</v>
      </c>
      <c r="R135" s="53">
        <f>IF(P135=0,0,MAX(0,P135-'00_Parametres'!$B$23))</f>
        <v>0</v>
      </c>
      <c r="S135" s="26"/>
      <c r="T135" s="26"/>
      <c r="U135" s="40"/>
    </row>
    <row r="136" ht="15" customHeight="1" spans="1:21" x14ac:dyDescent="0.25">
      <c r="A136" s="46"/>
      <c r="B136" s="26"/>
      <c r="C136" s="41">
        <f>IF(B136="","",IFERROR(VLOOKUP(B136,Employes[[ID]:[Nom Complet]],4,FALSE()),""))</f>
      </c>
      <c r="D136" s="47">
        <f t="shared" si="16"/>
      </c>
      <c r="E136" s="48">
        <f>IF(A136="","",IFERROR(INDEX('00_Parametres'!$C$7:$C$13,WEEKDAY(A136,2)),""))</f>
      </c>
      <c r="F136" s="48">
        <f>IF(A136="","",IFERROR(INDEX('00_Parametres'!$D$7:$D$13,WEEKDAY(A136,2)),""))</f>
      </c>
      <c r="G136" s="49">
        <f>IF(A136="","",IFERROR(INDEX('00_Parametres'!$E$7:$E$13,WEEKDAY(A136,2)),0))</f>
      </c>
      <c r="H136" s="50"/>
      <c r="I136" s="50"/>
      <c r="J136" s="51" t="s">
        <v>70</v>
      </c>
      <c r="K136" s="51" t="s">
        <v>70</v>
      </c>
      <c r="L136" s="48">
        <f>IF(OR(A136="",H136=""),"",IF(H136&lt;E136,IF(OR(J136="Oui",'00_Parametres'!$B$28="Oui"),H136,E136),H136))</f>
      </c>
      <c r="M136" s="48">
        <f>IF(OR(A136="",I136=""),"",IF(I136&gt;F136,IF(OR(K136="Oui",'00_Parametres'!$B$29="Oui"),I136,F136),I136))</f>
      </c>
      <c r="N136" s="52">
        <f t="shared" si="17"/>
        <v>0</v>
      </c>
      <c r="O136" s="52">
        <f t="shared" si="18"/>
        <v>0</v>
      </c>
      <c r="P136" s="53">
        <f t="shared" si="19"/>
        <v>0</v>
      </c>
      <c r="Q136" s="53">
        <f>IF(P136=0,0,MIN(P136,'00_Parametres'!$B$23))</f>
        <v>0</v>
      </c>
      <c r="R136" s="53">
        <f>IF(P136=0,0,MAX(0,P136-'00_Parametres'!$B$23))</f>
        <v>0</v>
      </c>
      <c r="S136" s="26"/>
      <c r="T136" s="26"/>
      <c r="U136" s="40"/>
    </row>
    <row r="137" ht="15" customHeight="1" spans="1:21" x14ac:dyDescent="0.25">
      <c r="A137" s="46"/>
      <c r="B137" s="26"/>
      <c r="C137" s="41">
        <f>IF(B137="","",IFERROR(VLOOKUP(B137,Employes[[ID]:[Nom Complet]],4,FALSE()),""))</f>
      </c>
      <c r="D137" s="47">
        <f t="shared" si="16"/>
      </c>
      <c r="E137" s="48">
        <f>IF(A137="","",IFERROR(INDEX('00_Parametres'!$C$7:$C$13,WEEKDAY(A137,2)),""))</f>
      </c>
      <c r="F137" s="48">
        <f>IF(A137="","",IFERROR(INDEX('00_Parametres'!$D$7:$D$13,WEEKDAY(A137,2)),""))</f>
      </c>
      <c r="G137" s="49">
        <f>IF(A137="","",IFERROR(INDEX('00_Parametres'!$E$7:$E$13,WEEKDAY(A137,2)),0))</f>
      </c>
      <c r="H137" s="50"/>
      <c r="I137" s="50"/>
      <c r="J137" s="51" t="s">
        <v>70</v>
      </c>
      <c r="K137" s="51" t="s">
        <v>70</v>
      </c>
      <c r="L137" s="48">
        <f>IF(OR(A137="",H137=""),"",IF(H137&lt;E137,IF(OR(J137="Oui",'00_Parametres'!$B$28="Oui"),H137,E137),H137))</f>
      </c>
      <c r="M137" s="48">
        <f>IF(OR(A137="",I137=""),"",IF(I137&gt;F137,IF(OR(K137="Oui",'00_Parametres'!$B$29="Oui"),I137,F137),I137))</f>
      </c>
      <c r="N137" s="52">
        <f t="shared" si="17"/>
        <v>0</v>
      </c>
      <c r="O137" s="52">
        <f t="shared" si="18"/>
        <v>0</v>
      </c>
      <c r="P137" s="53">
        <f t="shared" si="19"/>
        <v>0</v>
      </c>
      <c r="Q137" s="53">
        <f>IF(P137=0,0,MIN(P137,'00_Parametres'!$B$23))</f>
        <v>0</v>
      </c>
      <c r="R137" s="53">
        <f>IF(P137=0,0,MAX(0,P137-'00_Parametres'!$B$23))</f>
        <v>0</v>
      </c>
      <c r="S137" s="26"/>
      <c r="T137" s="26"/>
      <c r="U137" s="40"/>
    </row>
    <row r="138" ht="15" customHeight="1" spans="1:21" x14ac:dyDescent="0.25">
      <c r="A138" s="46"/>
      <c r="B138" s="26"/>
      <c r="C138" s="41">
        <f>IF(B138="","",IFERROR(VLOOKUP(B138,Employes[[ID]:[Nom Complet]],4,FALSE()),""))</f>
      </c>
      <c r="D138" s="47">
        <f t="shared" si="16"/>
      </c>
      <c r="E138" s="48">
        <f>IF(A138="","",IFERROR(INDEX('00_Parametres'!$C$7:$C$13,WEEKDAY(A138,2)),""))</f>
      </c>
      <c r="F138" s="48">
        <f>IF(A138="","",IFERROR(INDEX('00_Parametres'!$D$7:$D$13,WEEKDAY(A138,2)),""))</f>
      </c>
      <c r="G138" s="49">
        <f>IF(A138="","",IFERROR(INDEX('00_Parametres'!$E$7:$E$13,WEEKDAY(A138,2)),0))</f>
      </c>
      <c r="H138" s="50"/>
      <c r="I138" s="50"/>
      <c r="J138" s="51" t="s">
        <v>70</v>
      </c>
      <c r="K138" s="51" t="s">
        <v>70</v>
      </c>
      <c r="L138" s="48">
        <f>IF(OR(A138="",H138=""),"",IF(H138&lt;E138,IF(OR(J138="Oui",'00_Parametres'!$B$28="Oui"),H138,E138),H138))</f>
      </c>
      <c r="M138" s="48">
        <f>IF(OR(A138="",I138=""),"",IF(I138&gt;F138,IF(OR(K138="Oui",'00_Parametres'!$B$29="Oui"),I138,F138),I138))</f>
      </c>
      <c r="N138" s="52">
        <f t="shared" si="17"/>
        <v>0</v>
      </c>
      <c r="O138" s="52">
        <f t="shared" si="18"/>
        <v>0</v>
      </c>
      <c r="P138" s="53">
        <f t="shared" si="19"/>
        <v>0</v>
      </c>
      <c r="Q138" s="53">
        <f>IF(P138=0,0,MIN(P138,'00_Parametres'!$B$23))</f>
        <v>0</v>
      </c>
      <c r="R138" s="53">
        <f>IF(P138=0,0,MAX(0,P138-'00_Parametres'!$B$23))</f>
        <v>0</v>
      </c>
      <c r="S138" s="26"/>
      <c r="T138" s="26"/>
      <c r="U138" s="40"/>
    </row>
    <row r="139" ht="15" customHeight="1" spans="1:21" x14ac:dyDescent="0.25">
      <c r="A139" s="46"/>
      <c r="B139" s="26"/>
      <c r="C139" s="41">
        <f>IF(B139="","",IFERROR(VLOOKUP(B139,Employes[[ID]:[Nom Complet]],4,FALSE()),""))</f>
      </c>
      <c r="D139" s="47">
        <f t="shared" si="16"/>
      </c>
      <c r="E139" s="48">
        <f>IF(A139="","",IFERROR(INDEX('00_Parametres'!$C$7:$C$13,WEEKDAY(A139,2)),""))</f>
      </c>
      <c r="F139" s="48">
        <f>IF(A139="","",IFERROR(INDEX('00_Parametres'!$D$7:$D$13,WEEKDAY(A139,2)),""))</f>
      </c>
      <c r="G139" s="49">
        <f>IF(A139="","",IFERROR(INDEX('00_Parametres'!$E$7:$E$13,WEEKDAY(A139,2)),0))</f>
      </c>
      <c r="H139" s="50"/>
      <c r="I139" s="50"/>
      <c r="J139" s="51" t="s">
        <v>70</v>
      </c>
      <c r="K139" s="51" t="s">
        <v>70</v>
      </c>
      <c r="L139" s="48">
        <f>IF(OR(A139="",H139=""),"",IF(H139&lt;E139,IF(OR(J139="Oui",'00_Parametres'!$B$28="Oui"),H139,E139),H139))</f>
      </c>
      <c r="M139" s="48">
        <f>IF(OR(A139="",I139=""),"",IF(I139&gt;F139,IF(OR(K139="Oui",'00_Parametres'!$B$29="Oui"),I139,F139),I139))</f>
      </c>
      <c r="N139" s="52">
        <f t="shared" si="17"/>
        <v>0</v>
      </c>
      <c r="O139" s="52">
        <f t="shared" si="18"/>
        <v>0</v>
      </c>
      <c r="P139" s="53">
        <f t="shared" si="19"/>
        <v>0</v>
      </c>
      <c r="Q139" s="53">
        <f>IF(P139=0,0,MIN(P139,'00_Parametres'!$B$23))</f>
        <v>0</v>
      </c>
      <c r="R139" s="53">
        <f>IF(P139=0,0,MAX(0,P139-'00_Parametres'!$B$23))</f>
        <v>0</v>
      </c>
      <c r="S139" s="26"/>
      <c r="T139" s="26"/>
      <c r="U139" s="40"/>
    </row>
    <row r="140" ht="15" customHeight="1" spans="1:21" x14ac:dyDescent="0.25">
      <c r="A140" s="46"/>
      <c r="B140" s="26"/>
      <c r="C140" s="41">
        <f>IF(B140="","",IFERROR(VLOOKUP(B140,Employes[[ID]:[Nom Complet]],4,FALSE()),""))</f>
      </c>
      <c r="D140" s="47">
        <f t="shared" si="16"/>
      </c>
      <c r="E140" s="48">
        <f>IF(A140="","",IFERROR(INDEX('00_Parametres'!$C$7:$C$13,WEEKDAY(A140,2)),""))</f>
      </c>
      <c r="F140" s="48">
        <f>IF(A140="","",IFERROR(INDEX('00_Parametres'!$D$7:$D$13,WEEKDAY(A140,2)),""))</f>
      </c>
      <c r="G140" s="49">
        <f>IF(A140="","",IFERROR(INDEX('00_Parametres'!$E$7:$E$13,WEEKDAY(A140,2)),0))</f>
      </c>
      <c r="H140" s="50"/>
      <c r="I140" s="50"/>
      <c r="J140" s="51" t="s">
        <v>70</v>
      </c>
      <c r="K140" s="51" t="s">
        <v>70</v>
      </c>
      <c r="L140" s="48">
        <f>IF(OR(A140="",H140=""),"",IF(H140&lt;E140,IF(OR(J140="Oui",'00_Parametres'!$B$28="Oui"),H140,E140),H140))</f>
      </c>
      <c r="M140" s="48">
        <f>IF(OR(A140="",I140=""),"",IF(I140&gt;F140,IF(OR(K140="Oui",'00_Parametres'!$B$29="Oui"),I140,F140),I140))</f>
      </c>
      <c r="N140" s="52">
        <f t="shared" si="17"/>
        <v>0</v>
      </c>
      <c r="O140" s="52">
        <f t="shared" si="18"/>
        <v>0</v>
      </c>
      <c r="P140" s="53">
        <f t="shared" si="19"/>
        <v>0</v>
      </c>
      <c r="Q140" s="53">
        <f>IF(P140=0,0,MIN(P140,'00_Parametres'!$B$23))</f>
        <v>0</v>
      </c>
      <c r="R140" s="53">
        <f>IF(P140=0,0,MAX(0,P140-'00_Parametres'!$B$23))</f>
        <v>0</v>
      </c>
      <c r="S140" s="26"/>
      <c r="T140" s="26"/>
      <c r="U140" s="40"/>
    </row>
    <row r="141" ht="15" customHeight="1" spans="1:21" x14ac:dyDescent="0.25">
      <c r="A141" s="46"/>
      <c r="B141" s="26"/>
      <c r="C141" s="41">
        <f>IF(B141="","",IFERROR(VLOOKUP(B141,Employes[[ID]:[Nom Complet]],4,FALSE()),""))</f>
      </c>
      <c r="D141" s="47">
        <f t="shared" si="16"/>
      </c>
      <c r="E141" s="48">
        <f>IF(A141="","",IFERROR(INDEX('00_Parametres'!$C$7:$C$13,WEEKDAY(A141,2)),""))</f>
      </c>
      <c r="F141" s="48">
        <f>IF(A141="","",IFERROR(INDEX('00_Parametres'!$D$7:$D$13,WEEKDAY(A141,2)),""))</f>
      </c>
      <c r="G141" s="49">
        <f>IF(A141="","",IFERROR(INDEX('00_Parametres'!$E$7:$E$13,WEEKDAY(A141,2)),0))</f>
      </c>
      <c r="H141" s="50"/>
      <c r="I141" s="50"/>
      <c r="J141" s="51" t="s">
        <v>70</v>
      </c>
      <c r="K141" s="51" t="s">
        <v>70</v>
      </c>
      <c r="L141" s="48">
        <f>IF(OR(A141="",H141=""),"",IF(H141&lt;E141,IF(OR(J141="Oui",'00_Parametres'!$B$28="Oui"),H141,E141),H141))</f>
      </c>
      <c r="M141" s="48">
        <f>IF(OR(A141="",I141=""),"",IF(I141&gt;F141,IF(OR(K141="Oui",'00_Parametres'!$B$29="Oui"),I141,F141),I141))</f>
      </c>
      <c r="N141" s="52">
        <f t="shared" si="17"/>
        <v>0</v>
      </c>
      <c r="O141" s="52">
        <f t="shared" si="18"/>
        <v>0</v>
      </c>
      <c r="P141" s="53">
        <f t="shared" si="19"/>
        <v>0</v>
      </c>
      <c r="Q141" s="53">
        <f>IF(P141=0,0,MIN(P141,'00_Parametres'!$B$23))</f>
        <v>0</v>
      </c>
      <c r="R141" s="53">
        <f>IF(P141=0,0,MAX(0,P141-'00_Parametres'!$B$23))</f>
        <v>0</v>
      </c>
      <c r="S141" s="26"/>
      <c r="T141" s="26"/>
      <c r="U141" s="40"/>
    </row>
    <row r="142" ht="15" customHeight="1" spans="1:21" x14ac:dyDescent="0.25">
      <c r="A142" s="46"/>
      <c r="B142" s="26"/>
      <c r="C142" s="41">
        <f>IF(B142="","",IFERROR(VLOOKUP(B142,Employes[[ID]:[Nom Complet]],4,FALSE()),""))</f>
      </c>
      <c r="D142" s="47">
        <f t="shared" si="16"/>
      </c>
      <c r="E142" s="48">
        <f>IF(A142="","",IFERROR(INDEX('00_Parametres'!$C$7:$C$13,WEEKDAY(A142,2)),""))</f>
      </c>
      <c r="F142" s="48">
        <f>IF(A142="","",IFERROR(INDEX('00_Parametres'!$D$7:$D$13,WEEKDAY(A142,2)),""))</f>
      </c>
      <c r="G142" s="49">
        <f>IF(A142="","",IFERROR(INDEX('00_Parametres'!$E$7:$E$13,WEEKDAY(A142,2)),0))</f>
      </c>
      <c r="H142" s="50"/>
      <c r="I142" s="50"/>
      <c r="J142" s="51" t="s">
        <v>70</v>
      </c>
      <c r="K142" s="51" t="s">
        <v>70</v>
      </c>
      <c r="L142" s="48">
        <f>IF(OR(A142="",H142=""),"",IF(H142&lt;E142,IF(OR(J142="Oui",'00_Parametres'!$B$28="Oui"),H142,E142),H142))</f>
      </c>
      <c r="M142" s="48">
        <f>IF(OR(A142="",I142=""),"",IF(I142&gt;F142,IF(OR(K142="Oui",'00_Parametres'!$B$29="Oui"),I142,F142),I142))</f>
      </c>
      <c r="N142" s="52">
        <f t="shared" si="17"/>
        <v>0</v>
      </c>
      <c r="O142" s="52">
        <f t="shared" si="18"/>
        <v>0</v>
      </c>
      <c r="P142" s="53">
        <f t="shared" si="19"/>
        <v>0</v>
      </c>
      <c r="Q142" s="53">
        <f>IF(P142=0,0,MIN(P142,'00_Parametres'!$B$23))</f>
        <v>0</v>
      </c>
      <c r="R142" s="53">
        <f>IF(P142=0,0,MAX(0,P142-'00_Parametres'!$B$23))</f>
        <v>0</v>
      </c>
      <c r="S142" s="26"/>
      <c r="T142" s="26"/>
      <c r="U142" s="40"/>
    </row>
    <row r="143" ht="15" customHeight="1" spans="1:21" x14ac:dyDescent="0.25">
      <c r="A143" s="46"/>
      <c r="B143" s="26"/>
      <c r="C143" s="41">
        <f>IF(B143="","",IFERROR(VLOOKUP(B143,Employes[[ID]:[Nom Complet]],4,FALSE()),""))</f>
      </c>
      <c r="D143" s="47">
        <f t="shared" si="16"/>
      </c>
      <c r="E143" s="48">
        <f>IF(A143="","",IFERROR(INDEX('00_Parametres'!$C$7:$C$13,WEEKDAY(A143,2)),""))</f>
      </c>
      <c r="F143" s="48">
        <f>IF(A143="","",IFERROR(INDEX('00_Parametres'!$D$7:$D$13,WEEKDAY(A143,2)),""))</f>
      </c>
      <c r="G143" s="49">
        <f>IF(A143="","",IFERROR(INDEX('00_Parametres'!$E$7:$E$13,WEEKDAY(A143,2)),0))</f>
      </c>
      <c r="H143" s="50"/>
      <c r="I143" s="50"/>
      <c r="J143" s="51" t="s">
        <v>70</v>
      </c>
      <c r="K143" s="51" t="s">
        <v>70</v>
      </c>
      <c r="L143" s="48">
        <f>IF(OR(A143="",H143=""),"",IF(H143&lt;E143,IF(OR(J143="Oui",'00_Parametres'!$B$28="Oui"),H143,E143),H143))</f>
      </c>
      <c r="M143" s="48">
        <f>IF(OR(A143="",I143=""),"",IF(I143&gt;F143,IF(OR(K143="Oui",'00_Parametres'!$B$29="Oui"),I143,F143),I143))</f>
      </c>
      <c r="N143" s="52">
        <f t="shared" si="17"/>
        <v>0</v>
      </c>
      <c r="O143" s="52">
        <f t="shared" si="18"/>
        <v>0</v>
      </c>
      <c r="P143" s="53">
        <f t="shared" si="19"/>
        <v>0</v>
      </c>
      <c r="Q143" s="53">
        <f>IF(P143=0,0,MIN(P143,'00_Parametres'!$B$23))</f>
        <v>0</v>
      </c>
      <c r="R143" s="53">
        <f>IF(P143=0,0,MAX(0,P143-'00_Parametres'!$B$23))</f>
        <v>0</v>
      </c>
      <c r="S143" s="26"/>
      <c r="T143" s="26"/>
      <c r="U143" s="40"/>
    </row>
    <row r="144" ht="15" customHeight="1" spans="1:21" x14ac:dyDescent="0.25">
      <c r="A144" s="46"/>
      <c r="B144" s="26"/>
      <c r="C144" s="41">
        <f>IF(B144="","",IFERROR(VLOOKUP(B144,Employes[[ID]:[Nom Complet]],4,FALSE()),""))</f>
      </c>
      <c r="D144" s="47">
        <f t="shared" si="16"/>
      </c>
      <c r="E144" s="48">
        <f>IF(A144="","",IFERROR(INDEX('00_Parametres'!$C$7:$C$13,WEEKDAY(A144,2)),""))</f>
      </c>
      <c r="F144" s="48">
        <f>IF(A144="","",IFERROR(INDEX('00_Parametres'!$D$7:$D$13,WEEKDAY(A144,2)),""))</f>
      </c>
      <c r="G144" s="49">
        <f>IF(A144="","",IFERROR(INDEX('00_Parametres'!$E$7:$E$13,WEEKDAY(A144,2)),0))</f>
      </c>
      <c r="H144" s="50"/>
      <c r="I144" s="50"/>
      <c r="J144" s="51" t="s">
        <v>70</v>
      </c>
      <c r="K144" s="51" t="s">
        <v>70</v>
      </c>
      <c r="L144" s="48">
        <f>IF(OR(A144="",H144=""),"",IF(H144&lt;E144,IF(OR(J144="Oui",'00_Parametres'!$B$28="Oui"),H144,E144),H144))</f>
      </c>
      <c r="M144" s="48">
        <f>IF(OR(A144="",I144=""),"",IF(I144&gt;F144,IF(OR(K144="Oui",'00_Parametres'!$B$29="Oui"),I144,F144),I144))</f>
      </c>
      <c r="N144" s="52">
        <f t="shared" si="17"/>
        <v>0</v>
      </c>
      <c r="O144" s="52">
        <f t="shared" si="18"/>
        <v>0</v>
      </c>
      <c r="P144" s="53">
        <f t="shared" si="19"/>
        <v>0</v>
      </c>
      <c r="Q144" s="53">
        <f>IF(P144=0,0,MIN(P144,'00_Parametres'!$B$23))</f>
        <v>0</v>
      </c>
      <c r="R144" s="53">
        <f>IF(P144=0,0,MAX(0,P144-'00_Parametres'!$B$23))</f>
        <v>0</v>
      </c>
      <c r="S144" s="26"/>
      <c r="T144" s="26"/>
      <c r="U144" s="40"/>
    </row>
    <row r="145" ht="15" customHeight="1" spans="1:21" x14ac:dyDescent="0.25">
      <c r="A145" s="46"/>
      <c r="B145" s="26"/>
      <c r="C145" s="41">
        <f>IF(B145="","",IFERROR(VLOOKUP(B145,Employes[[ID]:[Nom Complet]],4,FALSE()),""))</f>
      </c>
      <c r="D145" s="47">
        <f t="shared" si="16"/>
      </c>
      <c r="E145" s="48">
        <f>IF(A145="","",IFERROR(INDEX('00_Parametres'!$C$7:$C$13,WEEKDAY(A145,2)),""))</f>
      </c>
      <c r="F145" s="48">
        <f>IF(A145="","",IFERROR(INDEX('00_Parametres'!$D$7:$D$13,WEEKDAY(A145,2)),""))</f>
      </c>
      <c r="G145" s="49">
        <f>IF(A145="","",IFERROR(INDEX('00_Parametres'!$E$7:$E$13,WEEKDAY(A145,2)),0))</f>
      </c>
      <c r="H145" s="50"/>
      <c r="I145" s="50"/>
      <c r="J145" s="51" t="s">
        <v>70</v>
      </c>
      <c r="K145" s="51" t="s">
        <v>70</v>
      </c>
      <c r="L145" s="48">
        <f>IF(OR(A145="",H145=""),"",IF(H145&lt;E145,IF(OR(J145="Oui",'00_Parametres'!$B$28="Oui"),H145,E145),H145))</f>
      </c>
      <c r="M145" s="48">
        <f>IF(OR(A145="",I145=""),"",IF(I145&gt;F145,IF(OR(K145="Oui",'00_Parametres'!$B$29="Oui"),I145,F145),I145))</f>
      </c>
      <c r="N145" s="52">
        <f t="shared" si="17"/>
        <v>0</v>
      </c>
      <c r="O145" s="52">
        <f t="shared" si="18"/>
        <v>0</v>
      </c>
      <c r="P145" s="53">
        <f t="shared" si="19"/>
        <v>0</v>
      </c>
      <c r="Q145" s="53">
        <f>IF(P145=0,0,MIN(P145,'00_Parametres'!$B$23))</f>
        <v>0</v>
      </c>
      <c r="R145" s="53">
        <f>IF(P145=0,0,MAX(0,P145-'00_Parametres'!$B$23))</f>
        <v>0</v>
      </c>
      <c r="S145" s="26"/>
      <c r="T145" s="26"/>
      <c r="U145" s="40"/>
    </row>
    <row r="146" ht="15" customHeight="1" spans="1:21" x14ac:dyDescent="0.25">
      <c r="A146" s="46"/>
      <c r="B146" s="26"/>
      <c r="C146" s="41">
        <f>IF(B146="","",IFERROR(VLOOKUP(B146,Employes[[ID]:[Nom Complet]],4,FALSE()),""))</f>
      </c>
      <c r="D146" s="47">
        <f t="shared" si="16"/>
      </c>
      <c r="E146" s="48">
        <f>IF(A146="","",IFERROR(INDEX('00_Parametres'!$C$7:$C$13,WEEKDAY(A146,2)),""))</f>
      </c>
      <c r="F146" s="48">
        <f>IF(A146="","",IFERROR(INDEX('00_Parametres'!$D$7:$D$13,WEEKDAY(A146,2)),""))</f>
      </c>
      <c r="G146" s="49">
        <f>IF(A146="","",IFERROR(INDEX('00_Parametres'!$E$7:$E$13,WEEKDAY(A146,2)),0))</f>
      </c>
      <c r="H146" s="50"/>
      <c r="I146" s="50"/>
      <c r="J146" s="51" t="s">
        <v>70</v>
      </c>
      <c r="K146" s="51" t="s">
        <v>70</v>
      </c>
      <c r="L146" s="48">
        <f>IF(OR(A146="",H146=""),"",IF(H146&lt;E146,IF(OR(J146="Oui",'00_Parametres'!$B$28="Oui"),H146,E146),H146))</f>
      </c>
      <c r="M146" s="48">
        <f>IF(OR(A146="",I146=""),"",IF(I146&gt;F146,IF(OR(K146="Oui",'00_Parametres'!$B$29="Oui"),I146,F146),I146))</f>
      </c>
      <c r="N146" s="52">
        <f t="shared" si="17"/>
        <v>0</v>
      </c>
      <c r="O146" s="52">
        <f t="shared" si="18"/>
        <v>0</v>
      </c>
      <c r="P146" s="53">
        <f t="shared" si="19"/>
        <v>0</v>
      </c>
      <c r="Q146" s="53">
        <f>IF(P146=0,0,MIN(P146,'00_Parametres'!$B$23))</f>
        <v>0</v>
      </c>
      <c r="R146" s="53">
        <f>IF(P146=0,0,MAX(0,P146-'00_Parametres'!$B$23))</f>
        <v>0</v>
      </c>
      <c r="S146" s="26"/>
      <c r="T146" s="26"/>
      <c r="U146" s="40"/>
    </row>
    <row r="147" ht="15" customHeight="1" spans="1:21" x14ac:dyDescent="0.25">
      <c r="A147" s="46"/>
      <c r="B147" s="26"/>
      <c r="C147" s="41">
        <f>IF(B147="","",IFERROR(VLOOKUP(B147,Employes[[ID]:[Nom Complet]],4,FALSE()),""))</f>
      </c>
      <c r="D147" s="47">
        <f t="shared" si="16"/>
      </c>
      <c r="E147" s="48">
        <f>IF(A147="","",IFERROR(INDEX('00_Parametres'!$C$7:$C$13,WEEKDAY(A147,2)),""))</f>
      </c>
      <c r="F147" s="48">
        <f>IF(A147="","",IFERROR(INDEX('00_Parametres'!$D$7:$D$13,WEEKDAY(A147,2)),""))</f>
      </c>
      <c r="G147" s="49">
        <f>IF(A147="","",IFERROR(INDEX('00_Parametres'!$E$7:$E$13,WEEKDAY(A147,2)),0))</f>
      </c>
      <c r="H147" s="50"/>
      <c r="I147" s="50"/>
      <c r="J147" s="51" t="s">
        <v>70</v>
      </c>
      <c r="K147" s="51" t="s">
        <v>70</v>
      </c>
      <c r="L147" s="48">
        <f>IF(OR(A147="",H147=""),"",IF(H147&lt;E147,IF(OR(J147="Oui",'00_Parametres'!$B$28="Oui"),H147,E147),H147))</f>
      </c>
      <c r="M147" s="48">
        <f>IF(OR(A147="",I147=""),"",IF(I147&gt;F147,IF(OR(K147="Oui",'00_Parametres'!$B$29="Oui"),I147,F147),I147))</f>
      </c>
      <c r="N147" s="52">
        <f t="shared" si="17"/>
        <v>0</v>
      </c>
      <c r="O147" s="52">
        <f t="shared" si="18"/>
        <v>0</v>
      </c>
      <c r="P147" s="53">
        <f t="shared" si="19"/>
        <v>0</v>
      </c>
      <c r="Q147" s="53">
        <f>IF(P147=0,0,MIN(P147,'00_Parametres'!$B$23))</f>
        <v>0</v>
      </c>
      <c r="R147" s="53">
        <f>IF(P147=0,0,MAX(0,P147-'00_Parametres'!$B$23))</f>
        <v>0</v>
      </c>
      <c r="S147" s="26"/>
      <c r="T147" s="26"/>
      <c r="U147" s="40"/>
    </row>
    <row r="148" ht="15" customHeight="1" spans="1:21" x14ac:dyDescent="0.25">
      <c r="A148" s="46"/>
      <c r="B148" s="26"/>
      <c r="C148" s="41">
        <f>IF(B148="","",IFERROR(VLOOKUP(B148,Employes[[ID]:[Nom Complet]],4,FALSE()),""))</f>
      </c>
      <c r="D148" s="47">
        <f t="shared" si="16"/>
      </c>
      <c r="E148" s="48">
        <f>IF(A148="","",IFERROR(INDEX('00_Parametres'!$C$7:$C$13,WEEKDAY(A148,2)),""))</f>
      </c>
      <c r="F148" s="48">
        <f>IF(A148="","",IFERROR(INDEX('00_Parametres'!$D$7:$D$13,WEEKDAY(A148,2)),""))</f>
      </c>
      <c r="G148" s="49">
        <f>IF(A148="","",IFERROR(INDEX('00_Parametres'!$E$7:$E$13,WEEKDAY(A148,2)),0))</f>
      </c>
      <c r="H148" s="50"/>
      <c r="I148" s="50"/>
      <c r="J148" s="51" t="s">
        <v>70</v>
      </c>
      <c r="K148" s="51" t="s">
        <v>70</v>
      </c>
      <c r="L148" s="48">
        <f>IF(OR(A148="",H148=""),"",IF(H148&lt;E148,IF(OR(J148="Oui",'00_Parametres'!$B$28="Oui"),H148,E148),H148))</f>
      </c>
      <c r="M148" s="48">
        <f>IF(OR(A148="",I148=""),"",IF(I148&gt;F148,IF(OR(K148="Oui",'00_Parametres'!$B$29="Oui"),I148,F148),I148))</f>
      </c>
      <c r="N148" s="52">
        <f t="shared" si="17"/>
        <v>0</v>
      </c>
      <c r="O148" s="52">
        <f t="shared" si="18"/>
        <v>0</v>
      </c>
      <c r="P148" s="53">
        <f t="shared" si="19"/>
        <v>0</v>
      </c>
      <c r="Q148" s="53">
        <f>IF(P148=0,0,MIN(P148,'00_Parametres'!$B$23))</f>
        <v>0</v>
      </c>
      <c r="R148" s="53">
        <f>IF(P148=0,0,MAX(0,P148-'00_Parametres'!$B$23))</f>
        <v>0</v>
      </c>
      <c r="S148" s="26"/>
      <c r="T148" s="26"/>
      <c r="U148" s="40"/>
    </row>
    <row r="149" ht="15" customHeight="1" spans="1:21" x14ac:dyDescent="0.25">
      <c r="A149" s="46"/>
      <c r="B149" s="26"/>
      <c r="C149" s="41">
        <f>IF(B149="","",IFERROR(VLOOKUP(B149,Employes[[ID]:[Nom Complet]],4,FALSE()),""))</f>
      </c>
      <c r="D149" s="47">
        <f t="shared" si="16"/>
      </c>
      <c r="E149" s="48">
        <f>IF(A149="","",IFERROR(INDEX('00_Parametres'!$C$7:$C$13,WEEKDAY(A149,2)),""))</f>
      </c>
      <c r="F149" s="48">
        <f>IF(A149="","",IFERROR(INDEX('00_Parametres'!$D$7:$D$13,WEEKDAY(A149,2)),""))</f>
      </c>
      <c r="G149" s="49">
        <f>IF(A149="","",IFERROR(INDEX('00_Parametres'!$E$7:$E$13,WEEKDAY(A149,2)),0))</f>
      </c>
      <c r="H149" s="50"/>
      <c r="I149" s="50"/>
      <c r="J149" s="51" t="s">
        <v>70</v>
      </c>
      <c r="K149" s="51" t="s">
        <v>70</v>
      </c>
      <c r="L149" s="48">
        <f>IF(OR(A149="",H149=""),"",IF(H149&lt;E149,IF(OR(J149="Oui",'00_Parametres'!$B$28="Oui"),H149,E149),H149))</f>
      </c>
      <c r="M149" s="48">
        <f>IF(OR(A149="",I149=""),"",IF(I149&gt;F149,IF(OR(K149="Oui",'00_Parametres'!$B$29="Oui"),I149,F149),I149))</f>
      </c>
      <c r="N149" s="52">
        <f t="shared" si="17"/>
        <v>0</v>
      </c>
      <c r="O149" s="52">
        <f t="shared" si="18"/>
        <v>0</v>
      </c>
      <c r="P149" s="53">
        <f t="shared" si="19"/>
        <v>0</v>
      </c>
      <c r="Q149" s="53">
        <f>IF(P149=0,0,MIN(P149,'00_Parametres'!$B$23))</f>
        <v>0</v>
      </c>
      <c r="R149" s="53">
        <f>IF(P149=0,0,MAX(0,P149-'00_Parametres'!$B$23))</f>
        <v>0</v>
      </c>
      <c r="S149" s="26"/>
      <c r="T149" s="26"/>
      <c r="U149" s="40"/>
    </row>
    <row r="150" ht="15" customHeight="1" spans="1:21" x14ac:dyDescent="0.25">
      <c r="A150" s="46"/>
      <c r="B150" s="26"/>
      <c r="C150" s="41">
        <f>IF(B150="","",IFERROR(VLOOKUP(B150,Employes[[ID]:[Nom Complet]],4,FALSE()),""))</f>
      </c>
      <c r="D150" s="47">
        <f t="shared" si="16"/>
      </c>
      <c r="E150" s="48">
        <f>IF(A150="","",IFERROR(INDEX('00_Parametres'!$C$7:$C$13,WEEKDAY(A150,2)),""))</f>
      </c>
      <c r="F150" s="48">
        <f>IF(A150="","",IFERROR(INDEX('00_Parametres'!$D$7:$D$13,WEEKDAY(A150,2)),""))</f>
      </c>
      <c r="G150" s="49">
        <f>IF(A150="","",IFERROR(INDEX('00_Parametres'!$E$7:$E$13,WEEKDAY(A150,2)),0))</f>
      </c>
      <c r="H150" s="50"/>
      <c r="I150" s="50"/>
      <c r="J150" s="51" t="s">
        <v>70</v>
      </c>
      <c r="K150" s="51" t="s">
        <v>70</v>
      </c>
      <c r="L150" s="48">
        <f>IF(OR(A150="",H150=""),"",IF(H150&lt;E150,IF(OR(J150="Oui",'00_Parametres'!$B$28="Oui"),H150,E150),H150))</f>
      </c>
      <c r="M150" s="48">
        <f>IF(OR(A150="",I150=""),"",IF(I150&gt;F150,IF(OR(K150="Oui",'00_Parametres'!$B$29="Oui"),I150,F150),I150))</f>
      </c>
      <c r="N150" s="52">
        <f t="shared" si="17"/>
        <v>0</v>
      </c>
      <c r="O150" s="52">
        <f t="shared" si="18"/>
        <v>0</v>
      </c>
      <c r="P150" s="53">
        <f t="shared" si="19"/>
        <v>0</v>
      </c>
      <c r="Q150" s="53">
        <f>IF(P150=0,0,MIN(P150,'00_Parametres'!$B$23))</f>
        <v>0</v>
      </c>
      <c r="R150" s="53">
        <f>IF(P150=0,0,MAX(0,P150-'00_Parametres'!$B$23))</f>
        <v>0</v>
      </c>
      <c r="S150" s="26"/>
      <c r="T150" s="26"/>
      <c r="U150" s="40"/>
    </row>
  </sheetData>
  <sheetProtection sheet="1" formatCells="0" formatColumns="0" formatRows="0" autoFilter="0" algorithmName="SHA-512" hashValue="FGcHmi2TQlZQbKQP626eO7AOPAuNxD5MMCKM7tFaMgI4JM702mEkLbi7kacQhQmEqNYjPWf5bEAmt7RzCCWU3w==" saltValue="1BazVt+IhDeHJYXctubGmA==" spinCount="100000"/>
  <mergeCells count="3">
    <mergeCell ref="A1:R1"/>
    <mergeCell ref="A2:R2"/>
    <mergeCell ref="A3:R3"/>
  </mergeCells>
  <conditionalFormatting sqref="N6:N150">
    <cfRule type="expression" dxfId="0" priority="2">
      <formula>N6&gt;0</formula>
    </cfRule>
  </conditionalFormatting>
  <conditionalFormatting sqref="O6:O150">
    <cfRule type="expression" dxfId="1" priority="3">
      <formula>O6&gt;0</formula>
    </cfRule>
  </conditionalFormatting>
  <conditionalFormatting sqref="S6:S150">
    <cfRule type="expression" dxfId="2" priority="4">
      <formula>S6="A"</formula>
    </cfRule>
    <cfRule type="expression" dxfId="3" priority="5">
      <formula>S6="P"</formula>
    </cfRule>
  </conditionalFormatting>
  <dataValidations count="8">
    <dataValidation type="date" allowBlank="1" errorTitle="Date invalide" error="JJ/MM/AAAA." sqref="A10:A150">
      <formula1>NaN</formula1>
      <formula2>NaN</formula2>
    </dataValidation>
    <dataValidation type="date" allowBlank="1" errorTitle="Date invalide" error="JJ/MM/AAAA." sqref="A6:A150">
      <formula1>NaN</formula1>
      <formula2>NaN</formula2>
    </dataValidation>
    <dataValidation type="list" allowBlank="1" errorTitle="ID inconnu" error="Choisir un ID existant (01_Employes)." sqref="B10:B150">
      <formula1>='01_Employes'!$A$6:$A$30</formula1>
    </dataValidation>
    <dataValidation type="list" allowBlank="1" errorTitle="ID inconnu" error="Choisir un ID existant (01_Employes)." sqref="B6:B150">
      <formula1>='01_Employes'!$A$6:$A$30</formula1>
    </dataValidation>
    <dataValidation type="list" allowBlank="1" sqref="J10:K150">
      <formula1>"Oui,Non"</formula1>
    </dataValidation>
    <dataValidation type="list" allowBlank="1" sqref="J6:K150">
      <formula1>"Oui,Non"</formula1>
    </dataValidation>
    <dataValidation type="list" allowBlank="1" sqref="S10:S150">
      <formula1>"A,R,HS,P,C,M,F,AJ,AI"</formula1>
    </dataValidation>
    <dataValidation type="list" allowBlank="1" sqref="S6:S150">
      <formula1>"A,R,HS,P,C,M,F,AJ,AI"</formula1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3"/>
  </tablePart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 zoomScale="100" zoomScaleNormal="100">
      <pane ySplit="11" topLeftCell="A12" activePane="bottomLeft" state="frozen"/>
      <selection pane="bottomLeft" activeCell="E25" sqref="E25"/>
    </sheetView>
  </sheetViews>
  <sheetFormatPr defaultRowHeight="15" outlineLevelRow="0" outlineLevelCol="0" x14ac:dyDescent="0.25" defaultColWidth="8.7109375"/>
  <cols>
    <col min="1" max="1" width="10" customWidth="1"/>
    <col min="2" max="2" width="26" customWidth="1"/>
    <col min="3" max="3" width="16" customWidth="1"/>
    <col min="4" max="4" width="12" customWidth="1"/>
    <col min="5" max="5" width="14" customWidth="1"/>
    <col min="6" max="7" width="12" customWidth="1"/>
    <col min="8" max="8" width="11" customWidth="1"/>
    <col min="9" max="9" width="13" customWidth="1"/>
    <col min="10" max="10" width="14" customWidth="1"/>
    <col min="11" max="11" width="12" customWidth="1"/>
    <col min="12" max="12" width="14" customWidth="1"/>
    <col min="13" max="13" width="11" customWidth="1"/>
    <col min="14" max="14" width="25" customWidth="1"/>
  </cols>
  <sheetData>
    <row r="1" ht="21.75" customHeight="1" spans="1:14" x14ac:dyDescent="0.25">
      <c r="A1" s="1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customHeight="1" spans="1:14" x14ac:dyDescent="0.25">
      <c r="A2" s="15" t="s">
        <v>248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5" customHeight="1" spans="1:4" x14ac:dyDescent="0.25">
      <c r="A4" s="4" t="s">
        <v>249</v>
      </c>
      <c r="B4" s="2"/>
      <c r="C4" s="2"/>
      <c r="D4" s="2"/>
    </row>
    <row r="5" ht="15" customHeight="1" spans="1:5" x14ac:dyDescent="0.25">
      <c r="A5" t="s">
        <v>250</v>
      </c>
      <c r="B5" s="37">
        <v>46235</v>
      </c>
      <c r="C5" t="s">
        <v>251</v>
      </c>
      <c r="D5" s="37">
        <v>46265</v>
      </c>
      <c r="E5" s="3" t="s">
        <v>252</v>
      </c>
    </row>
    <row r="7" ht="15" customHeight="1" spans="1:1" x14ac:dyDescent="0.25">
      <c r="A7" s="9" t="s">
        <v>253</v>
      </c>
    </row>
    <row r="8" ht="15" customHeight="1" spans="1:8" x14ac:dyDescent="0.25">
      <c r="A8" t="s">
        <v>254</v>
      </c>
      <c r="B8" s="69">
        <f>G27</f>
        <v>164.12</v>
      </c>
      <c r="C8" t="s">
        <v>255</v>
      </c>
      <c r="D8" s="69">
        <f>H27</f>
        <v>1</v>
      </c>
      <c r="E8" t="s">
        <v>256</v>
      </c>
      <c r="F8" s="70">
        <f>I27</f>
        <v>7500</v>
      </c>
      <c r="G8" t="s">
        <v>257</v>
      </c>
      <c r="H8" s="71">
        <f>L27</f>
        <v>86433</v>
      </c>
    </row>
    <row r="11" ht="34.5" customHeight="1" spans="1:14" x14ac:dyDescent="0.25">
      <c r="A11" s="10" t="s">
        <v>144</v>
      </c>
      <c r="B11" s="10" t="s">
        <v>147</v>
      </c>
      <c r="C11" s="10" t="s">
        <v>11</v>
      </c>
      <c r="D11" s="10" t="s">
        <v>258</v>
      </c>
      <c r="E11" s="10" t="s">
        <v>259</v>
      </c>
      <c r="F11" s="10" t="s">
        <v>260</v>
      </c>
      <c r="G11" s="10" t="s">
        <v>233</v>
      </c>
      <c r="H11" s="10" t="s">
        <v>234</v>
      </c>
      <c r="I11" s="10" t="s">
        <v>256</v>
      </c>
      <c r="J11" s="10" t="s">
        <v>261</v>
      </c>
      <c r="K11" s="10" t="s">
        <v>262</v>
      </c>
      <c r="L11" s="10" t="s">
        <v>263</v>
      </c>
      <c r="M11" s="10" t="s">
        <v>264</v>
      </c>
      <c r="N11" s="10" t="s">
        <v>265</v>
      </c>
    </row>
    <row r="12" ht="15" customHeight="1" spans="1:14" x14ac:dyDescent="0.25">
      <c r="A12" s="12" t="str">
        <f>IF('01_Employes'!A6="","",'01_Employes'!A6)</f>
        <v>EMP001</v>
      </c>
      <c r="B12" s="72" t="str">
        <f>IF(A12="","",'01_Employes'!D6)</f>
        <v>Tsafack Ndongmo Symphonien</v>
      </c>
      <c r="C12" s="72" t="str">
        <f>IF(A12="","",'01_Employes'!E6)</f>
        <v>Administrateur</v>
      </c>
      <c r="D12" s="12" t="str">
        <f>IF(A12="","",'01_Employes'!K6)</f>
        <v>CDI</v>
      </c>
      <c r="E12" s="73">
        <f>IF(A12="","",'01_Employes'!L6)</f>
        <v>150000</v>
      </c>
      <c r="F12" s="73">
        <f>IF(A12="","",'01_Employes'!M6)</f>
        <v>666</v>
      </c>
      <c r="G12" s="21">
        <f>IF(A12="","",SUMIFS(Pointage[Heures Normales],Pointage[ID Employé],A12,Pointage[Date],"&gt;="&amp;$B$5,Pointage[Date],"&lt;="&amp;$D$5))</f>
        <v>16.83</v>
      </c>
      <c r="H12" s="21">
        <f>IF(A12="","",SUMIFS(Pointage[Heures Supp.],Pointage[ID Employé],A12,Pointage[Date],"&gt;="&amp;$B$5,Pointage[Date],"&lt;="&amp;$D$5))</f>
        <v>0</v>
      </c>
      <c r="I12" s="74">
        <f>IF(A12="","",SUMIFS(Pointage[Prime Tâche (FCFA)],Pointage[ID Employé],A12,Pointage[Date],"&gt;="&amp;$B$5,Pointage[Date],"&lt;="&amp;$D$5))</f>
        <v>0</v>
      </c>
      <c r="J12" s="73">
        <f t="shared" ref="J12:J25" si="0">IF(OR(A12="",F12=""),0,ROUND(G12*F12,0))</f>
        <v>11209</v>
      </c>
      <c r="K12" s="73">
        <f>IF(OR(A12="",H12=""),0,ROUND(H12*'01_Employes'!N6,0))</f>
        <v>0</v>
      </c>
      <c r="L12" s="75">
        <f t="shared" ref="L12:L25" si="1">IF(A12="","",J12+K12+I12)</f>
        <v>11209</v>
      </c>
      <c r="M12" s="12">
        <f>IF(A12="","",COUNTIFS(Pointage[ID Employé],A12,Pointage[Date],"&gt;="&amp;$B$5,Pointage[Date],"&lt;="&amp;$D$5,Pointage[Heures travaillées],"&gt;0"))</f>
        <v>2</v>
      </c>
      <c r="N12" s="22"/>
    </row>
    <row r="13" ht="15" customHeight="1" spans="1:14" x14ac:dyDescent="0.25">
      <c r="A13" s="12" t="str">
        <f>IF('01_Employes'!A7="","",'01_Employes'!A7)</f>
        <v>EMP002</v>
      </c>
      <c r="B13" s="72" t="str">
        <f>IF(A13="","",'01_Employes'!D7)</f>
        <v>Pandja Tchatchoua Syriane</v>
      </c>
      <c r="C13" s="72" t="str">
        <f>IF(A13="","",'01_Employes'!E7)</f>
        <v>Secrétaire</v>
      </c>
      <c r="D13" s="12" t="str">
        <f>IF(A13="","",'01_Employes'!K7)</f>
        <v>CDI</v>
      </c>
      <c r="E13" s="73">
        <f>IF(A13="","",'01_Employes'!L7)</f>
        <v>100000</v>
      </c>
      <c r="F13" s="73">
        <f>IF(A13="","",'01_Employes'!M7)</f>
        <v>444</v>
      </c>
      <c r="G13" s="21">
        <f>IF(A13="","",SUMIFS(Pointage[Heures Normales],Pointage[ID Employé],A13,Pointage[Date],"&gt;="&amp;$B$5,Pointage[Date],"&lt;="&amp;$D$5))</f>
        <v>15</v>
      </c>
      <c r="H13" s="21">
        <f>IF(A13="","",SUMIFS(Pointage[Heures Supp.],Pointage[ID Employé],A13,Pointage[Date],"&gt;="&amp;$B$5,Pointage[Date],"&lt;="&amp;$D$5))</f>
        <v>1</v>
      </c>
      <c r="I13" s="74">
        <f>IF(A13="","",SUMIFS(Pointage[Prime Tâche (FCFA)],Pointage[ID Employé],A13,Pointage[Date],"&gt;="&amp;$B$5,Pointage[Date],"&lt;="&amp;$D$5))</f>
        <v>5000</v>
      </c>
      <c r="J13" s="73">
        <f t="shared" si="0"/>
        <v>6660</v>
      </c>
      <c r="K13" s="73">
        <f>IF(OR(A13="",H13=""),0,ROUND(H13*'01_Employes'!N7,0))</f>
        <v>666</v>
      </c>
      <c r="L13" s="75">
        <f t="shared" si="1"/>
        <v>12326</v>
      </c>
      <c r="M13" s="12">
        <f>IF(A13="","",COUNTIFS(Pointage[ID Employé],A13,Pointage[Date],"&gt;="&amp;$B$5,Pointage[Date],"&lt;="&amp;$D$5,Pointage[Heures travaillées],"&gt;0"))</f>
        <v>2</v>
      </c>
      <c r="N13" s="22"/>
    </row>
    <row r="14" ht="15" customHeight="1" spans="1:14" x14ac:dyDescent="0.25">
      <c r="A14" s="12" t="str">
        <f>IF('01_Employes'!A8="","",'01_Employes'!A8)</f>
        <v>EMP003</v>
      </c>
      <c r="B14" s="72" t="str">
        <f>IF(A14="","",'01_Employes'!D8)</f>
        <v>Takoueta Yvan</v>
      </c>
      <c r="C14" s="72" t="str">
        <f>IF(A14="","",'01_Employes'!E8)</f>
        <v>Chef des ateliers</v>
      </c>
      <c r="D14" s="12" t="str">
        <f>IF(A14="","",'01_Employes'!K8)</f>
        <v>CDI</v>
      </c>
      <c r="E14" s="73">
        <f>IF(A14="","",'01_Employes'!L8)</f>
        <v>150000</v>
      </c>
      <c r="F14" s="73">
        <f>IF(A14="","",'01_Employes'!M8)</f>
        <v>666</v>
      </c>
      <c r="G14" s="21">
        <f>IF(A14="","",SUMIFS(Pointage[Heures Normales],Pointage[ID Employé],A14,Pointage[Date],"&gt;="&amp;$B$5,Pointage[Date],"&lt;="&amp;$D$5))</f>
        <v>16.5</v>
      </c>
      <c r="H14" s="21">
        <f>IF(A14="","",SUMIFS(Pointage[Heures Supp.],Pointage[ID Employé],A14,Pointage[Date],"&gt;="&amp;$B$5,Pointage[Date],"&lt;="&amp;$D$5))</f>
        <v>0</v>
      </c>
      <c r="I14" s="74">
        <f>IF(A14="","",SUMIFS(Pointage[Prime Tâche (FCFA)],Pointage[ID Employé],A14,Pointage[Date],"&gt;="&amp;$B$5,Pointage[Date],"&lt;="&amp;$D$5))</f>
        <v>0</v>
      </c>
      <c r="J14" s="73">
        <f t="shared" si="0"/>
        <v>10989</v>
      </c>
      <c r="K14" s="73">
        <f>IF(OR(A14="",H14=""),0,ROUND(H14*'01_Employes'!N8,0))</f>
        <v>0</v>
      </c>
      <c r="L14" s="75">
        <f t="shared" si="1"/>
        <v>10989</v>
      </c>
      <c r="M14" s="12">
        <f>IF(A14="","",COUNTIFS(Pointage[ID Employé],A14,Pointage[Date],"&gt;="&amp;$B$5,Pointage[Date],"&lt;="&amp;$D$5,Pointage[Heures travaillées],"&gt;0"))</f>
        <v>2</v>
      </c>
      <c r="N14" s="22"/>
    </row>
    <row r="15" ht="15" customHeight="1" spans="1:14" x14ac:dyDescent="0.25">
      <c r="A15" s="12" t="str">
        <f>IF('01_Employes'!A9="","",'01_Employes'!A9)</f>
        <v>EMP004</v>
      </c>
      <c r="B15" s="72" t="str">
        <f>IF(A15="","",'01_Employes'!D9)</f>
        <v>Chekep Faustin</v>
      </c>
      <c r="C15" s="72" t="str">
        <f>IF(A15="","",'01_Employes'!E9)</f>
        <v>Mécanicien</v>
      </c>
      <c r="D15" s="12" t="str">
        <f>IF(A15="","",'01_Employes'!K9)</f>
        <v>CDI</v>
      </c>
      <c r="E15" s="73">
        <f>IF(A15="","",'01_Employes'!L9)</f>
        <v>120000</v>
      </c>
      <c r="F15" s="73">
        <f>IF(A15="","",'01_Employes'!M9)</f>
        <v>533</v>
      </c>
      <c r="G15" s="21">
        <f>IF(A15="","",SUMIFS(Pointage[Heures Normales],Pointage[ID Employé],A15,Pointage[Date],"&gt;="&amp;$B$5,Pointage[Date],"&lt;="&amp;$D$5))</f>
        <v>18.2</v>
      </c>
      <c r="H15" s="21">
        <f>IF(A15="","",SUMIFS(Pointage[Heures Supp.],Pointage[ID Employé],A15,Pointage[Date],"&gt;="&amp;$B$5,Pointage[Date],"&lt;="&amp;$D$5))</f>
        <v>0</v>
      </c>
      <c r="I15" s="74">
        <f>IF(A15="","",SUMIFS(Pointage[Prime Tâche (FCFA)],Pointage[ID Employé],A15,Pointage[Date],"&gt;="&amp;$B$5,Pointage[Date],"&lt;="&amp;$D$5))</f>
        <v>0</v>
      </c>
      <c r="J15" s="73">
        <f t="shared" si="0"/>
        <v>9701</v>
      </c>
      <c r="K15" s="73">
        <f>IF(OR(A15="",H15=""),0,ROUND(H15*'01_Employes'!N9,0))</f>
        <v>0</v>
      </c>
      <c r="L15" s="75">
        <f t="shared" si="1"/>
        <v>9701</v>
      </c>
      <c r="M15" s="12">
        <f>IF(A15="","",COUNTIFS(Pointage[ID Employé],A15,Pointage[Date],"&gt;="&amp;$B$5,Pointage[Date],"&lt;="&amp;$D$5,Pointage[Heures travaillées],"&gt;0"))</f>
        <v>2</v>
      </c>
      <c r="N15" s="22"/>
    </row>
    <row r="16" ht="23.25" customHeight="1" spans="1:14" x14ac:dyDescent="0.25">
      <c r="A16" s="12" t="str">
        <f>IF('01_Employes'!A10="","",'01_Employes'!A10)</f>
        <v>EMP005</v>
      </c>
      <c r="B16" s="72" t="str">
        <f>IF(A16="","",'01_Employes'!D10)</f>
        <v>Abdou</v>
      </c>
      <c r="C16" s="72" t="str">
        <f>IF(A16="","",'01_Employes'!E10)</f>
        <v>Tôlier</v>
      </c>
      <c r="D16" s="12" t="str">
        <f>IF(A16="","",'01_Employes'!K10)</f>
        <v>Apprentissage</v>
      </c>
      <c r="E16" s="73">
        <f>IF(A16="","",'01_Employes'!L10)</f>
        <v>80000</v>
      </c>
      <c r="F16" s="73">
        <f>IF(A16="","",'01_Employes'!M10)</f>
        <v>355</v>
      </c>
      <c r="G16" s="21">
        <f>IF(A16="","",SUMIFS(Pointage[Heures Normales],Pointage[ID Employé],A16,Pointage[Date],"&gt;="&amp;$B$5,Pointage[Date],"&lt;="&amp;$D$5))</f>
        <v>12.5</v>
      </c>
      <c r="H16" s="21">
        <f>IF(A16="","",SUMIFS(Pointage[Heures Supp.],Pointage[ID Employé],A16,Pointage[Date],"&gt;="&amp;$B$5,Pointage[Date],"&lt;="&amp;$D$5))</f>
        <v>0</v>
      </c>
      <c r="I16" s="74">
        <f>IF(A16="","",SUMIFS(Pointage[Prime Tâche (FCFA)],Pointage[ID Employé],A16,Pointage[Date],"&gt;="&amp;$B$5,Pointage[Date],"&lt;="&amp;$D$5))</f>
        <v>2500</v>
      </c>
      <c r="J16" s="73">
        <f t="shared" si="0"/>
        <v>4438</v>
      </c>
      <c r="K16" s="73">
        <f>IF(OR(A16="",H16=""),0,ROUND(H16*'01_Employes'!N10,0))</f>
        <v>0</v>
      </c>
      <c r="L16" s="75">
        <f t="shared" si="1"/>
        <v>6938</v>
      </c>
      <c r="M16" s="12">
        <f>IF(A16="","",COUNTIFS(Pointage[ID Employé],A16,Pointage[Date],"&gt;="&amp;$B$5,Pointage[Date],"&lt;="&amp;$D$5,Pointage[Heures travaillées],"&gt;0"))</f>
        <v>2</v>
      </c>
      <c r="N16" s="22"/>
    </row>
    <row r="17" ht="23.25" customHeight="1" spans="1:14" x14ac:dyDescent="0.25">
      <c r="A17" s="12" t="str">
        <f>IF('01_Employes'!A11="","",'01_Employes'!A11)</f>
        <v>EMP006</v>
      </c>
      <c r="B17" s="72" t="str">
        <f>IF(A17="","",'01_Employes'!D11)</f>
        <v>Nyontyen Si Jean Vinny</v>
      </c>
      <c r="C17" s="72" t="str">
        <f>IF(A17="","",'01_Employes'!E11)</f>
        <v>Mécanicien</v>
      </c>
      <c r="D17" s="12" t="str">
        <f>IF(A17="","",'01_Employes'!K11)</f>
        <v>Apprentissage</v>
      </c>
      <c r="E17" s="73">
        <f>IF(A17="","",'01_Employes'!L11)</f>
        <v>80000</v>
      </c>
      <c r="F17" s="73">
        <f>IF(A17="","",'01_Employes'!M11)</f>
        <v>355</v>
      </c>
      <c r="G17" s="21">
        <f>IF(A17="","",SUMIFS(Pointage[Heures Normales],Pointage[ID Employé],A17,Pointage[Date],"&gt;="&amp;$B$5,Pointage[Date],"&lt;="&amp;$D$5))</f>
        <v>18.15</v>
      </c>
      <c r="H17" s="21">
        <f>IF(A17="","",SUMIFS(Pointage[Heures Supp.],Pointage[ID Employé],A17,Pointage[Date],"&gt;="&amp;$B$5,Pointage[Date],"&lt;="&amp;$D$5))</f>
        <v>0</v>
      </c>
      <c r="I17" s="74">
        <f>IF(A17="","",SUMIFS(Pointage[Prime Tâche (FCFA)],Pointage[ID Employé],A17,Pointage[Date],"&gt;="&amp;$B$5,Pointage[Date],"&lt;="&amp;$D$5))</f>
        <v>0</v>
      </c>
      <c r="J17" s="73">
        <f t="shared" si="0"/>
        <v>6443</v>
      </c>
      <c r="K17" s="73">
        <f>IF(OR(A17="",H17=""),0,ROUND(H17*'01_Employes'!N11,0))</f>
        <v>0</v>
      </c>
      <c r="L17" s="75">
        <f t="shared" si="1"/>
        <v>6443</v>
      </c>
      <c r="M17" s="12">
        <f>IF(A17="","",COUNTIFS(Pointage[ID Employé],A17,Pointage[Date],"&gt;="&amp;$B$5,Pointage[Date],"&lt;="&amp;$D$5,Pointage[Heures travaillées],"&gt;0"))</f>
        <v>2</v>
      </c>
      <c r="N17" s="22"/>
    </row>
    <row r="18" ht="23.25" customHeight="1" spans="1:14" x14ac:dyDescent="0.25">
      <c r="A18" s="12" t="str">
        <f>IF('01_Employes'!A12="","",'01_Employes'!A12)</f>
        <v>EMP007</v>
      </c>
      <c r="B18" s="72" t="str">
        <f>IF(A18="","",'01_Employes'!D12)</f>
        <v>Holé Homsala</v>
      </c>
      <c r="C18" s="72" t="str">
        <f>IF(A18="","",'01_Employes'!E12)</f>
        <v>Magasinier</v>
      </c>
      <c r="D18" s="12" t="str">
        <f>IF(A18="","",'01_Employes'!K12)</f>
        <v>Apprentissage</v>
      </c>
      <c r="E18" s="73">
        <f>IF(A18="","",'01_Employes'!L12)</f>
        <v>80000</v>
      </c>
      <c r="F18" s="73">
        <f>IF(A18="","",'01_Employes'!M12)</f>
        <v>355</v>
      </c>
      <c r="G18" s="21">
        <f>IF(A18="","",SUMIFS(Pointage[Heures Normales],Pointage[ID Employé],A18,Pointage[Date],"&gt;="&amp;$B$5,Pointage[Date],"&lt;="&amp;$D$5))</f>
        <v>9.43</v>
      </c>
      <c r="H18" s="21">
        <f>IF(A18="","",SUMIFS(Pointage[Heures Supp.],Pointage[ID Employé],A18,Pointage[Date],"&gt;="&amp;$B$5,Pointage[Date],"&lt;="&amp;$D$5))</f>
        <v>0</v>
      </c>
      <c r="I18" s="74">
        <f>IF(A18="","",SUMIFS(Pointage[Prime Tâche (FCFA)],Pointage[ID Employé],A18,Pointage[Date],"&gt;="&amp;$B$5,Pointage[Date],"&lt;="&amp;$D$5))</f>
        <v>0</v>
      </c>
      <c r="J18" s="73">
        <f t="shared" si="0"/>
        <v>3348</v>
      </c>
      <c r="K18" s="73">
        <f>IF(OR(A18="",H18=""),0,ROUND(H18*'01_Employes'!N12,0))</f>
        <v>0</v>
      </c>
      <c r="L18" s="75">
        <f t="shared" si="1"/>
        <v>3348</v>
      </c>
      <c r="M18" s="12">
        <f>IF(A18="","",COUNTIFS(Pointage[ID Employé],A18,Pointage[Date],"&gt;="&amp;$B$5,Pointage[Date],"&lt;="&amp;$D$5,Pointage[Heures travaillées],"&gt;0"))</f>
        <v>2</v>
      </c>
      <c r="N18" s="22"/>
    </row>
    <row r="19" ht="23.25" customHeight="1" spans="1:14" x14ac:dyDescent="0.25">
      <c r="A19" s="12" t="str">
        <f>IF('01_Employes'!A13="","",'01_Employes'!A13)</f>
        <v>EMP008</v>
      </c>
      <c r="B19" s="72" t="str">
        <f>IF(A19="","",'01_Employes'!D13)</f>
        <v>Ebene Ngono</v>
      </c>
      <c r="C19" s="72" t="str">
        <f>IF(A19="","",'01_Employes'!E13)</f>
        <v>Mécanicien</v>
      </c>
      <c r="D19" s="12" t="str">
        <f>IF(A19="","",'01_Employes'!K13)</f>
        <v>Apprentissage</v>
      </c>
      <c r="E19" s="73">
        <f>IF(A19="","",'01_Employes'!L13)</f>
        <v>80000</v>
      </c>
      <c r="F19" s="73">
        <f>IF(A19="","",'01_Employes'!M13)</f>
        <v>355</v>
      </c>
      <c r="G19" s="21">
        <f>IF(A19="","",SUMIFS(Pointage[Heures Normales],Pointage[ID Employé],A19,Pointage[Date],"&gt;="&amp;$B$5,Pointage[Date],"&lt;="&amp;$D$5))</f>
        <v>9.33</v>
      </c>
      <c r="H19" s="21">
        <f>IF(A19="","",SUMIFS(Pointage[Heures Supp.],Pointage[ID Employé],A19,Pointage[Date],"&gt;="&amp;$B$5,Pointage[Date],"&lt;="&amp;$D$5))</f>
        <v>0</v>
      </c>
      <c r="I19" s="74">
        <f>IF(A19="","",SUMIFS(Pointage[Prime Tâche (FCFA)],Pointage[ID Employé],A19,Pointage[Date],"&gt;="&amp;$B$5,Pointage[Date],"&lt;="&amp;$D$5))</f>
        <v>0</v>
      </c>
      <c r="J19" s="73">
        <f t="shared" si="0"/>
        <v>3312</v>
      </c>
      <c r="K19" s="73">
        <f>IF(OR(A19="",H19=""),0,ROUND(H19*'01_Employes'!N13,0))</f>
        <v>0</v>
      </c>
      <c r="L19" s="75">
        <f t="shared" si="1"/>
        <v>3312</v>
      </c>
      <c r="M19" s="12">
        <f>IF(A19="","",COUNTIFS(Pointage[ID Employé],A19,Pointage[Date],"&gt;="&amp;$B$5,Pointage[Date],"&lt;="&amp;$D$5,Pointage[Heures travaillées],"&gt;0"))</f>
        <v>1</v>
      </c>
      <c r="N19" s="22"/>
    </row>
    <row r="20" ht="23.25" customHeight="1" spans="1:14" x14ac:dyDescent="0.25">
      <c r="A20" s="12" t="str">
        <f>IF('01_Employes'!A14="","",'01_Employes'!A14)</f>
        <v>EMP009</v>
      </c>
      <c r="B20" s="72" t="str">
        <f>IF(A20="","",'01_Employes'!D14)</f>
        <v>Tineba Vital Eric</v>
      </c>
      <c r="C20" s="72" t="str">
        <f>IF(A20="","",'01_Employes'!E14)</f>
        <v>Mécanicien</v>
      </c>
      <c r="D20" s="12" t="str">
        <f>IF(A20="","",'01_Employes'!K14)</f>
        <v>Apprentissage</v>
      </c>
      <c r="E20" s="73">
        <f>IF(A20="","",'01_Employes'!L14)</f>
        <v>80000</v>
      </c>
      <c r="F20" s="73">
        <f>IF(A20="","",'01_Employes'!M14)</f>
        <v>355</v>
      </c>
      <c r="G20" s="21">
        <f>IF(A20="","",SUMIFS(Pointage[Heures Normales],Pointage[ID Employé],A20,Pointage[Date],"&gt;="&amp;$B$5,Pointage[Date],"&lt;="&amp;$D$5))</f>
        <v>8.75</v>
      </c>
      <c r="H20" s="21">
        <f>IF(A20="","",SUMIFS(Pointage[Heures Supp.],Pointage[ID Employé],A20,Pointage[Date],"&gt;="&amp;$B$5,Pointage[Date],"&lt;="&amp;$D$5))</f>
        <v>0</v>
      </c>
      <c r="I20" s="74">
        <f>IF(A20="","",SUMIFS(Pointage[Prime Tâche (FCFA)],Pointage[ID Employé],A20,Pointage[Date],"&gt;="&amp;$B$5,Pointage[Date],"&lt;="&amp;$D$5))</f>
        <v>0</v>
      </c>
      <c r="J20" s="73">
        <f t="shared" si="0"/>
        <v>3106</v>
      </c>
      <c r="K20" s="73">
        <f>IF(OR(A20="",H20=""),0,ROUND(H20*'01_Employes'!N14,0))</f>
        <v>0</v>
      </c>
      <c r="L20" s="75">
        <f t="shared" si="1"/>
        <v>3106</v>
      </c>
      <c r="M20" s="12">
        <f>IF(A20="","",COUNTIFS(Pointage[ID Employé],A20,Pointage[Date],"&gt;="&amp;$B$5,Pointage[Date],"&lt;="&amp;$D$5,Pointage[Heures travaillées],"&gt;0"))</f>
        <v>1</v>
      </c>
      <c r="N20" s="22"/>
    </row>
    <row r="21" ht="23.25" customHeight="1" spans="1:14" x14ac:dyDescent="0.25">
      <c r="A21" s="12" t="str">
        <f>IF('01_Employes'!A15="","",'01_Employes'!A15)</f>
        <v>EMP010</v>
      </c>
      <c r="B21" s="72" t="str">
        <f>IF(A21="","",'01_Employes'!D15)</f>
        <v>Deutchoua Tientcheu Christian</v>
      </c>
      <c r="C21" s="72" t="str">
        <f>IF(A21="","",'01_Employes'!E15)</f>
        <v>Mécanicien</v>
      </c>
      <c r="D21" s="12" t="str">
        <f>IF(A21="","",'01_Employes'!K15)</f>
        <v>Apprentissage</v>
      </c>
      <c r="E21" s="73">
        <f>IF(A21="","",'01_Employes'!L15)</f>
        <v>80000</v>
      </c>
      <c r="F21" s="73">
        <f>IF(A21="","",'01_Employes'!M15)</f>
        <v>355</v>
      </c>
      <c r="G21" s="21">
        <f>IF(A21="","",SUMIFS(Pointage[Heures Normales],Pointage[ID Employé],A21,Pointage[Date],"&gt;="&amp;$B$5,Pointage[Date],"&lt;="&amp;$D$5))</f>
        <v>5</v>
      </c>
      <c r="H21" s="21">
        <f>IF(A21="","",SUMIFS(Pointage[Heures Supp.],Pointage[ID Employé],A21,Pointage[Date],"&gt;="&amp;$B$5,Pointage[Date],"&lt;="&amp;$D$5))</f>
        <v>0</v>
      </c>
      <c r="I21" s="74">
        <f>IF(A21="","",SUMIFS(Pointage[Prime Tâche (FCFA)],Pointage[ID Employé],A21,Pointage[Date],"&gt;="&amp;$B$5,Pointage[Date],"&lt;="&amp;$D$5))</f>
        <v>0</v>
      </c>
      <c r="J21" s="73">
        <f t="shared" si="0"/>
        <v>1775</v>
      </c>
      <c r="K21" s="73">
        <f>IF(OR(A21="",H21=""),0,ROUND(H21*'01_Employes'!N15,0))</f>
        <v>0</v>
      </c>
      <c r="L21" s="75">
        <f t="shared" si="1"/>
        <v>1775</v>
      </c>
      <c r="M21" s="12">
        <f>IF(A21="","",COUNTIFS(Pointage[ID Employé],A21,Pointage[Date],"&gt;="&amp;$B$5,Pointage[Date],"&lt;="&amp;$D$5,Pointage[Heures travaillées],"&gt;0"))</f>
        <v>1</v>
      </c>
      <c r="N21" s="22"/>
    </row>
    <row r="22" ht="23.25" customHeight="1" spans="1:14" x14ac:dyDescent="0.25">
      <c r="A22" s="12" t="str">
        <f>IF('01_Employes'!A16="","",'01_Employes'!A16)</f>
        <v>EMP011</v>
      </c>
      <c r="B22" s="72" t="str">
        <f>IF(A22="","",'01_Employes'!D16)</f>
        <v>Fouakouet Youssoufa</v>
      </c>
      <c r="C22" s="72" t="str">
        <f>IF(A22="","",'01_Employes'!E16)</f>
        <v>Électronicien</v>
      </c>
      <c r="D22" s="12" t="str">
        <f>IF(A22="","",'01_Employes'!K16)</f>
        <v>Apprentissage</v>
      </c>
      <c r="E22" s="73">
        <f>IF(A22="","",'01_Employes'!L16)</f>
        <v>80000</v>
      </c>
      <c r="F22" s="73">
        <f>IF(A22="","",'01_Employes'!M16)</f>
        <v>355</v>
      </c>
      <c r="G22" s="21">
        <f>IF(A22="","",SUMIFS(Pointage[Heures Normales],Pointage[ID Employé],A22,Pointage[Date],"&gt;="&amp;$B$5,Pointage[Date],"&lt;="&amp;$D$5))</f>
        <v>7</v>
      </c>
      <c r="H22" s="21">
        <f>IF(A22="","",SUMIFS(Pointage[Heures Supp.],Pointage[ID Employé],A22,Pointage[Date],"&gt;="&amp;$B$5,Pointage[Date],"&lt;="&amp;$D$5))</f>
        <v>0</v>
      </c>
      <c r="I22" s="74">
        <f>IF(A22="","",SUMIFS(Pointage[Prime Tâche (FCFA)],Pointage[ID Employé],A22,Pointage[Date],"&gt;="&amp;$B$5,Pointage[Date],"&lt;="&amp;$D$5))</f>
        <v>0</v>
      </c>
      <c r="J22" s="73">
        <f t="shared" si="0"/>
        <v>2485</v>
      </c>
      <c r="K22" s="73">
        <f>IF(OR(A22="",H22=""),0,ROUND(H22*'01_Employes'!N16,0))</f>
        <v>0</v>
      </c>
      <c r="L22" s="75">
        <f t="shared" si="1"/>
        <v>2485</v>
      </c>
      <c r="M22" s="12">
        <f>IF(A22="","",COUNTIFS(Pointage[ID Employé],A22,Pointage[Date],"&gt;="&amp;$B$5,Pointage[Date],"&lt;="&amp;$D$5,Pointage[Heures travaillées],"&gt;0"))</f>
        <v>1</v>
      </c>
      <c r="N22" s="22"/>
    </row>
    <row r="23" ht="23.25" customHeight="1" spans="1:14" x14ac:dyDescent="0.25">
      <c r="A23" s="12" t="str">
        <f>IF('01_Employes'!A17="","",'01_Employes'!A17)</f>
        <v>EMP012</v>
      </c>
      <c r="B23" s="72" t="str">
        <f>IF(A23="","",'01_Employes'!D17)</f>
        <v>Ngouamera Adrien Gildas</v>
      </c>
      <c r="C23" s="72" t="str">
        <f>IF(A23="","",'01_Employes'!E17)</f>
        <v>Mécanicien</v>
      </c>
      <c r="D23" s="12" t="str">
        <f>IF(A23="","",'01_Employes'!K17)</f>
        <v>Apprentissage</v>
      </c>
      <c r="E23" s="73">
        <f>IF(A23="","",'01_Employes'!L17)</f>
        <v>80000</v>
      </c>
      <c r="F23" s="73">
        <f>IF(A23="","",'01_Employes'!M17)</f>
        <v>355</v>
      </c>
      <c r="G23" s="21">
        <f>IF(A23="","",SUMIFS(Pointage[Heures Normales],Pointage[ID Employé],A23,Pointage[Date],"&gt;="&amp;$B$5,Pointage[Date],"&lt;="&amp;$D$5))</f>
        <v>8.93</v>
      </c>
      <c r="H23" s="21">
        <f>IF(A23="","",SUMIFS(Pointage[Heures Supp.],Pointage[ID Employé],A23,Pointage[Date],"&gt;="&amp;$B$5,Pointage[Date],"&lt;="&amp;$D$5))</f>
        <v>0</v>
      </c>
      <c r="I23" s="74">
        <f>IF(A23="","",SUMIFS(Pointage[Prime Tâche (FCFA)],Pointage[ID Employé],A23,Pointage[Date],"&gt;="&amp;$B$5,Pointage[Date],"&lt;="&amp;$D$5))</f>
        <v>0</v>
      </c>
      <c r="J23" s="73">
        <f t="shared" si="0"/>
        <v>3170</v>
      </c>
      <c r="K23" s="73">
        <f>IF(OR(A23="",H23=""),0,ROUND(H23*'01_Employes'!N17,0))</f>
        <v>0</v>
      </c>
      <c r="L23" s="75">
        <f t="shared" si="1"/>
        <v>3170</v>
      </c>
      <c r="M23" s="12">
        <f>IF(A23="","",COUNTIFS(Pointage[ID Employé],A23,Pointage[Date],"&gt;="&amp;$B$5,Pointage[Date],"&lt;="&amp;$D$5,Pointage[Heures travaillées],"&gt;0"))</f>
        <v>1</v>
      </c>
      <c r="N23" s="22"/>
    </row>
    <row r="24" ht="15" customHeight="1" spans="1:14" x14ac:dyDescent="0.25">
      <c r="A24" s="12" t="str">
        <f>IF('01_Employes'!A18="","",'01_Employes'!A18)</f>
        <v>EMP013</v>
      </c>
      <c r="B24" s="72" t="str">
        <f>IF(A24="","",'01_Employes'!D18)</f>
        <v>Nague Zemdjui Arnaud</v>
      </c>
      <c r="C24" s="72" t="str">
        <f>IF(A24="","",'01_Employes'!E18)</f>
        <v>Assistant Administratif</v>
      </c>
      <c r="D24" s="12" t="str">
        <f>IF(A24="","",'01_Employes'!K18)</f>
        <v>CDD</v>
      </c>
      <c r="E24" s="73">
        <f>IF(A24="","",'01_Employes'!L18)</f>
        <v>200000</v>
      </c>
      <c r="F24" s="73">
        <f>IF(A24="","",'01_Employes'!M18)</f>
        <v>888</v>
      </c>
      <c r="G24" s="21">
        <f>IF(A24="","",SUMIFS(Pointage[Heures Normales],Pointage[ID Employé],A24,Pointage[Date],"&gt;="&amp;$B$5,Pointage[Date],"&lt;="&amp;$D$5))</f>
        <v>9.5</v>
      </c>
      <c r="H24" s="21">
        <f>IF(A24="","",SUMIFS(Pointage[Heures Supp.],Pointage[ID Employé],A24,Pointage[Date],"&gt;="&amp;$B$5,Pointage[Date],"&lt;="&amp;$D$5))</f>
        <v>0</v>
      </c>
      <c r="I24" s="74">
        <f>IF(A24="","",SUMIFS(Pointage[Prime Tâche (FCFA)],Pointage[ID Employé],A24,Pointage[Date],"&gt;="&amp;$B$5,Pointage[Date],"&lt;="&amp;$D$5))</f>
        <v>0</v>
      </c>
      <c r="J24" s="73">
        <f t="shared" si="0"/>
        <v>8436</v>
      </c>
      <c r="K24" s="73">
        <f>IF(OR(A24="",H24=""),0,ROUND(H24*'01_Employes'!N18,0))</f>
        <v>0</v>
      </c>
      <c r="L24" s="75">
        <f t="shared" si="1"/>
        <v>8436</v>
      </c>
      <c r="M24" s="12">
        <f>IF(A24="","",COUNTIFS(Pointage[ID Employé],A24,Pointage[Date],"&gt;="&amp;$B$5,Pointage[Date],"&lt;="&amp;$D$5,Pointage[Heures travaillées],"&gt;0"))</f>
        <v>1</v>
      </c>
      <c r="N24" s="22"/>
    </row>
    <row r="25" ht="15" customHeight="1" spans="1:14" x14ac:dyDescent="0.25">
      <c r="A25" s="72" t="str">
        <f>IF('01_Employes'!A19="","",'01_Employes'!A19)</f>
        <v>EMP014</v>
      </c>
      <c r="B25" s="72" t="str">
        <f>IF(A25="","",'01_Employes'!D19)</f>
        <v>Zo'o Mbarga Jean Loic</v>
      </c>
      <c r="C25" s="72" t="str">
        <f>IF(A25="","",'01_Employes'!E19)</f>
        <v>Mécanicien</v>
      </c>
      <c r="D25" s="72" t="str">
        <f>IF(A25="","",'01_Employes'!K19)</f>
        <v>Apprentissage</v>
      </c>
      <c r="E25" s="73">
        <f>IF(A25="","",'01_Employes'!L19)</f>
        <v>80000</v>
      </c>
      <c r="F25" s="73">
        <f>IF(A25="","",'01_Employes'!M19)</f>
        <v>355</v>
      </c>
      <c r="G25" s="76">
        <f>IF(A25="","",SUMIFS(Pointage[Heures Normales],Pointage[ID Employé],A25,Pointage[Date],"&gt;="&amp;$B$5,Pointage[Date],"&lt;="&amp;$D$5))</f>
        <v>9</v>
      </c>
      <c r="H25" s="76">
        <f>IF(A25="","",SUMIFS(Pointage[Heures Supp.],Pointage[ID Employé],A25,Pointage[Date],"&gt;="&amp;$B$5,Pointage[Date],"&lt;="&amp;$D$5))</f>
        <v>0</v>
      </c>
      <c r="I25" s="73">
        <f>IF(A25="","",SUMIFS(Pointage[Prime Tâche (FCFA)],Pointage[ID Employé],A25,Pointage[Date],"&gt;="&amp;$B$5,Pointage[Date],"&lt;="&amp;$D$5))</f>
        <v>0</v>
      </c>
      <c r="J25" s="73">
        <f t="shared" si="0"/>
        <v>3195</v>
      </c>
      <c r="K25" s="73">
        <f>IF(OR(A25="",H25=""),0,ROUND(H25*'01_Employes'!N19,0))</f>
        <v>0</v>
      </c>
      <c r="L25" s="75">
        <f t="shared" si="1"/>
        <v>3195</v>
      </c>
      <c r="M25" s="72">
        <f>IF(A25="","",COUNTIFS(Pointage[ID Employé],A25,Pointage[Date],"&gt;="&amp;$B$5,Pointage[Date],"&lt;="&amp;$D$5,Pointage[Heures travaillées],"&gt;0"))</f>
        <v>1</v>
      </c>
      <c r="N25" s="77"/>
    </row>
    <row r="26" ht="15" customHeight="1" spans="1:14" x14ac:dyDescent="0.25">
      <c r="A26" s="78"/>
      <c r="B26" s="79"/>
      <c r="C26" s="79"/>
      <c r="D26" s="79"/>
      <c r="E26" s="79"/>
      <c r="F26" s="79"/>
      <c r="G26" s="80">
        <f t="shared" ref="G26:M26" si="2">SUM(G12:G25)</f>
        <v>164.12</v>
      </c>
      <c r="H26" s="80">
        <f t="shared" si="2"/>
        <v>1</v>
      </c>
      <c r="I26" s="81">
        <f t="shared" si="2"/>
        <v>7500</v>
      </c>
      <c r="J26" s="81">
        <f t="shared" si="2"/>
        <v>78267</v>
      </c>
      <c r="K26" s="81">
        <f t="shared" si="2"/>
        <v>666</v>
      </c>
      <c r="L26" s="82">
        <f t="shared" si="2"/>
        <v>86433</v>
      </c>
      <c r="M26" s="79">
        <f t="shared" si="2"/>
        <v>21</v>
      </c>
      <c r="N26" s="77"/>
    </row>
    <row r="27" ht="15" customHeight="1" spans="1:14" x14ac:dyDescent="0.25">
      <c r="A27" s="83" t="s">
        <v>266</v>
      </c>
      <c r="B27" s="77"/>
      <c r="C27" s="77"/>
      <c r="D27" s="77"/>
      <c r="E27" s="77"/>
      <c r="F27" s="77"/>
      <c r="G27" s="80">
        <f t="shared" ref="G27:M27" si="3">SUM(G12:G25)</f>
        <v>164.12</v>
      </c>
      <c r="H27" s="80">
        <f t="shared" si="3"/>
        <v>1</v>
      </c>
      <c r="I27" s="81">
        <f t="shared" si="3"/>
        <v>7500</v>
      </c>
      <c r="J27" s="81">
        <f t="shared" si="3"/>
        <v>78267</v>
      </c>
      <c r="K27" s="81">
        <f t="shared" si="3"/>
        <v>666</v>
      </c>
      <c r="L27" s="82">
        <f t="shared" si="3"/>
        <v>86433</v>
      </c>
      <c r="M27" s="79">
        <f t="shared" si="3"/>
        <v>21</v>
      </c>
      <c r="N27" s="77"/>
    </row>
    <row r="28" ht="15" customHeight="1" spans="1:1" x14ac:dyDescent="0.25">
      <c r="A28" t="s">
        <v>267</v>
      </c>
    </row>
    <row r="29" ht="15" customHeight="1" spans="1:1" x14ac:dyDescent="0.25">
      <c r="A29" t="s">
        <v>268</v>
      </c>
    </row>
    <row r="30" ht="15" customHeight="1" spans="1:1" x14ac:dyDescent="0.25">
      <c r="A30" t="s">
        <v>269</v>
      </c>
    </row>
    <row r="31" ht="15" customHeight="1" spans="1:1" x14ac:dyDescent="0.25">
      <c r="A31" t="s">
        <v>270</v>
      </c>
    </row>
    <row r="32" ht="15" customHeight="1" spans="1:1" x14ac:dyDescent="0.25">
      <c r="A32" t="s">
        <v>271</v>
      </c>
    </row>
  </sheetData>
  <sheetProtection sheet="1" formatCells="0" formatColumns="0" formatRows="0" autoFilter="0" algorithmName="SHA-512" hashValue="mcy0hU7GgRYfUMXPCMM7k8+LDSbIsILoXA6vcdcwP1oQ1EEF9MWqt21pT4FRcO1QmCSuR5YDcHKeql93w9pFDw==" saltValue="9xrbbyEbz4eQZbHZsK+bAg==" spinCount="100000"/>
  <mergeCells count="3">
    <mergeCell ref="A1:N1"/>
    <mergeCell ref="A2:N2"/>
    <mergeCell ref="A4:D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.25" defaultColWidth="8.7109375"/>
  <cols>
    <col min="1" max="1" width="8" customWidth="1"/>
    <col min="2" max="2" width="12" customWidth="1"/>
    <col min="3" max="3" width="26" customWidth="1"/>
    <col min="4" max="4" width="16" customWidth="1"/>
    <col min="5" max="6" width="12" customWidth="1"/>
    <col min="7" max="7" width="10" customWidth="1"/>
    <col min="8" max="8" width="25" customWidth="1"/>
    <col min="9" max="11" width="14" customWidth="1"/>
    <col min="12" max="12" width="25" customWidth="1"/>
  </cols>
  <sheetData>
    <row r="1" ht="21.75" customHeight="1" spans="1:12" x14ac:dyDescent="0.25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" customHeight="1" spans="1:1" x14ac:dyDescent="0.25">
      <c r="A2" s="15" t="s">
        <v>273</v>
      </c>
    </row>
    <row r="4" ht="26.25" customHeight="1" spans="1:12" x14ac:dyDescent="0.25">
      <c r="A4" s="10" t="s">
        <v>274</v>
      </c>
      <c r="B4" s="10" t="s">
        <v>220</v>
      </c>
      <c r="C4" s="10" t="s">
        <v>147</v>
      </c>
      <c r="D4" s="10" t="s">
        <v>275</v>
      </c>
      <c r="E4" s="10" t="s">
        <v>250</v>
      </c>
      <c r="F4" s="10" t="s">
        <v>251</v>
      </c>
      <c r="G4" s="10" t="s">
        <v>276</v>
      </c>
      <c r="H4" s="10" t="s">
        <v>277</v>
      </c>
      <c r="I4" s="10" t="s">
        <v>278</v>
      </c>
      <c r="J4" s="10" t="s">
        <v>279</v>
      </c>
      <c r="K4" s="10" t="s">
        <v>280</v>
      </c>
      <c r="L4" s="10" t="s">
        <v>281</v>
      </c>
    </row>
    <row r="5" ht="15" customHeight="1" spans="1:12" x14ac:dyDescent="0.25">
      <c r="A5" s="84">
        <v>1</v>
      </c>
      <c r="B5" s="22"/>
      <c r="C5" s="72">
        <f>IF(B5="","",IFERROR(VLOOKUP(B5,Employes[[ID]:[Nom Complet]],4,FALSE()),""))</f>
      </c>
      <c r="D5" s="22"/>
      <c r="E5" s="85"/>
      <c r="F5" s="85"/>
      <c r="G5" s="12">
        <f t="shared" ref="G5:G24" si="0">IF(OR(E5="",F5=""),"",F5-E5+1)</f>
      </c>
      <c r="H5" s="22"/>
      <c r="I5" s="22"/>
      <c r="J5" s="22"/>
      <c r="K5" s="85"/>
      <c r="L5" s="22"/>
    </row>
    <row r="6" ht="15" customHeight="1" spans="1:12" x14ac:dyDescent="0.25">
      <c r="A6" s="84">
        <v>2</v>
      </c>
      <c r="B6" s="22"/>
      <c r="C6" s="72">
        <f>IF(B6="","",IFERROR(VLOOKUP(B6,Employes[[ID]:[Nom Complet]],4,FALSE()),""))</f>
      </c>
      <c r="D6" s="22"/>
      <c r="E6" s="85"/>
      <c r="F6" s="85"/>
      <c r="G6" s="12">
        <f t="shared" si="0"/>
      </c>
      <c r="H6" s="22"/>
      <c r="I6" s="22"/>
      <c r="J6" s="22"/>
      <c r="K6" s="85"/>
      <c r="L6" s="22"/>
    </row>
    <row r="7" ht="15" customHeight="1" spans="1:12" x14ac:dyDescent="0.25">
      <c r="A7" s="84">
        <v>3</v>
      </c>
      <c r="B7" s="22"/>
      <c r="C7" s="72">
        <f>IF(B7="","",IFERROR(VLOOKUP(B7,Employes[[ID]:[Nom Complet]],4,FALSE()),""))</f>
      </c>
      <c r="D7" s="22"/>
      <c r="E7" s="85"/>
      <c r="F7" s="85"/>
      <c r="G7" s="12">
        <f t="shared" si="0"/>
      </c>
      <c r="H7" s="22"/>
      <c r="I7" s="22"/>
      <c r="J7" s="22"/>
      <c r="K7" s="85"/>
      <c r="L7" s="22"/>
    </row>
    <row r="8" ht="15" customHeight="1" spans="1:12" x14ac:dyDescent="0.25">
      <c r="A8" s="84">
        <v>4</v>
      </c>
      <c r="B8" s="22"/>
      <c r="C8" s="72">
        <f>IF(B8="","",IFERROR(VLOOKUP(B8,Employes[[ID]:[Nom Complet]],4,FALSE()),""))</f>
      </c>
      <c r="D8" s="22"/>
      <c r="E8" s="85"/>
      <c r="F8" s="85"/>
      <c r="G8" s="12">
        <f t="shared" si="0"/>
      </c>
      <c r="H8" s="22"/>
      <c r="I8" s="22"/>
      <c r="J8" s="22"/>
      <c r="K8" s="85"/>
      <c r="L8" s="22"/>
    </row>
    <row r="9" ht="15" customHeight="1" spans="1:12" x14ac:dyDescent="0.25">
      <c r="A9" s="84">
        <v>5</v>
      </c>
      <c r="B9" s="22"/>
      <c r="C9" s="72">
        <f>IF(B9="","",IFERROR(VLOOKUP(B9,Employes[[ID]:[Nom Complet]],4,FALSE()),""))</f>
      </c>
      <c r="D9" s="22"/>
      <c r="E9" s="85"/>
      <c r="F9" s="85"/>
      <c r="G9" s="12">
        <f t="shared" si="0"/>
      </c>
      <c r="H9" s="22"/>
      <c r="I9" s="22"/>
      <c r="J9" s="22"/>
      <c r="K9" s="85"/>
      <c r="L9" s="22"/>
    </row>
    <row r="10" ht="15" customHeight="1" spans="1:12" x14ac:dyDescent="0.25">
      <c r="A10" s="84">
        <v>6</v>
      </c>
      <c r="B10" s="22"/>
      <c r="C10" s="72">
        <f>IF(B10="","",IFERROR(VLOOKUP(B10,Employes[[ID]:[Nom Complet]],4,FALSE()),""))</f>
      </c>
      <c r="D10" s="22"/>
      <c r="E10" s="85"/>
      <c r="F10" s="85"/>
      <c r="G10" s="12">
        <f t="shared" si="0"/>
      </c>
      <c r="H10" s="22"/>
      <c r="I10" s="22"/>
      <c r="J10" s="22"/>
      <c r="K10" s="85"/>
      <c r="L10" s="22"/>
    </row>
    <row r="11" ht="15" customHeight="1" spans="1:12" x14ac:dyDescent="0.25">
      <c r="A11" s="84">
        <v>7</v>
      </c>
      <c r="B11" s="22"/>
      <c r="C11" s="72">
        <f>IF(B11="","",IFERROR(VLOOKUP(B11,Employes[[ID]:[Nom Complet]],4,FALSE()),""))</f>
      </c>
      <c r="D11" s="22"/>
      <c r="E11" s="85"/>
      <c r="F11" s="85"/>
      <c r="G11" s="12">
        <f t="shared" si="0"/>
      </c>
      <c r="H11" s="22"/>
      <c r="I11" s="22"/>
      <c r="J11" s="22"/>
      <c r="K11" s="85"/>
      <c r="L11" s="22"/>
    </row>
    <row r="12" ht="15" customHeight="1" spans="1:12" x14ac:dyDescent="0.25">
      <c r="A12" s="84">
        <v>8</v>
      </c>
      <c r="B12" s="22"/>
      <c r="C12" s="72">
        <f>IF(B12="","",IFERROR(VLOOKUP(B12,Employes[[ID]:[Nom Complet]],4,FALSE()),""))</f>
      </c>
      <c r="D12" s="22"/>
      <c r="E12" s="85"/>
      <c r="F12" s="85"/>
      <c r="G12" s="12">
        <f t="shared" si="0"/>
      </c>
      <c r="H12" s="22"/>
      <c r="I12" s="22"/>
      <c r="J12" s="22"/>
      <c r="K12" s="85"/>
      <c r="L12" s="22"/>
    </row>
    <row r="13" ht="15" customHeight="1" spans="1:12" x14ac:dyDescent="0.25">
      <c r="A13" s="84">
        <v>9</v>
      </c>
      <c r="B13" s="22"/>
      <c r="C13" s="72">
        <f>IF(B13="","",IFERROR(VLOOKUP(B13,Employes[[ID]:[Nom Complet]],4,FALSE()),""))</f>
      </c>
      <c r="D13" s="22"/>
      <c r="E13" s="85"/>
      <c r="F13" s="85"/>
      <c r="G13" s="12">
        <f t="shared" si="0"/>
      </c>
      <c r="H13" s="22"/>
      <c r="I13" s="22"/>
      <c r="J13" s="22"/>
      <c r="K13" s="85"/>
      <c r="L13" s="22"/>
    </row>
    <row r="14" ht="15" customHeight="1" spans="1:12" x14ac:dyDescent="0.25">
      <c r="A14" s="84">
        <v>10</v>
      </c>
      <c r="B14" s="22"/>
      <c r="C14" s="72">
        <f>IF(B14="","",IFERROR(VLOOKUP(B14,Employes[[ID]:[Nom Complet]],4,FALSE()),""))</f>
      </c>
      <c r="D14" s="22"/>
      <c r="E14" s="85"/>
      <c r="F14" s="85"/>
      <c r="G14" s="12">
        <f t="shared" si="0"/>
      </c>
      <c r="H14" s="22"/>
      <c r="I14" s="22"/>
      <c r="J14" s="22"/>
      <c r="K14" s="85"/>
      <c r="L14" s="22"/>
    </row>
    <row r="15" ht="15" customHeight="1" spans="1:12" x14ac:dyDescent="0.25">
      <c r="A15" s="84">
        <v>11</v>
      </c>
      <c r="B15" s="22"/>
      <c r="C15" s="72">
        <f>IF(B15="","",IFERROR(VLOOKUP(B15,Employes[[ID]:[Nom Complet]],4,FALSE()),""))</f>
      </c>
      <c r="D15" s="22"/>
      <c r="E15" s="85"/>
      <c r="F15" s="85"/>
      <c r="G15" s="12">
        <f t="shared" si="0"/>
      </c>
      <c r="H15" s="22"/>
      <c r="I15" s="22"/>
      <c r="J15" s="22"/>
      <c r="K15" s="85"/>
      <c r="L15" s="22"/>
    </row>
    <row r="16" ht="15" customHeight="1" spans="1:12" x14ac:dyDescent="0.25">
      <c r="A16" s="84">
        <v>12</v>
      </c>
      <c r="B16" s="22"/>
      <c r="C16" s="72">
        <f>IF(B16="","",IFERROR(VLOOKUP(B16,Employes[[ID]:[Nom Complet]],4,FALSE()),""))</f>
      </c>
      <c r="D16" s="22"/>
      <c r="E16" s="85"/>
      <c r="F16" s="85"/>
      <c r="G16" s="12">
        <f t="shared" si="0"/>
      </c>
      <c r="H16" s="22"/>
      <c r="I16" s="22"/>
      <c r="J16" s="22"/>
      <c r="K16" s="85"/>
      <c r="L16" s="22"/>
    </row>
    <row r="17" ht="15" customHeight="1" spans="1:12" x14ac:dyDescent="0.25">
      <c r="A17" s="84">
        <v>13</v>
      </c>
      <c r="B17" s="22"/>
      <c r="C17" s="72">
        <f>IF(B17="","",IFERROR(VLOOKUP(B17,Employes[[ID]:[Nom Complet]],4,FALSE()),""))</f>
      </c>
      <c r="D17" s="22"/>
      <c r="E17" s="85"/>
      <c r="F17" s="85"/>
      <c r="G17" s="12">
        <f t="shared" si="0"/>
      </c>
      <c r="H17" s="22"/>
      <c r="I17" s="22"/>
      <c r="J17" s="22"/>
      <c r="K17" s="85"/>
      <c r="L17" s="22"/>
    </row>
    <row r="18" ht="15" customHeight="1" spans="1:12" x14ac:dyDescent="0.25">
      <c r="A18" s="84">
        <v>14</v>
      </c>
      <c r="B18" s="22"/>
      <c r="C18" s="72">
        <f>IF(B18="","",IFERROR(VLOOKUP(B18,Employes[[ID]:[Nom Complet]],4,FALSE()),""))</f>
      </c>
      <c r="D18" s="22"/>
      <c r="E18" s="85"/>
      <c r="F18" s="85"/>
      <c r="G18" s="12">
        <f t="shared" si="0"/>
      </c>
      <c r="H18" s="22"/>
      <c r="I18" s="22"/>
      <c r="J18" s="22"/>
      <c r="K18" s="85"/>
      <c r="L18" s="22"/>
    </row>
    <row r="19" ht="15" customHeight="1" spans="1:12" x14ac:dyDescent="0.25">
      <c r="A19" s="84">
        <v>15</v>
      </c>
      <c r="B19" s="22"/>
      <c r="C19" s="72">
        <f>IF(B19="","",IFERROR(VLOOKUP(B19,Employes[[ID]:[Nom Complet]],4,FALSE()),""))</f>
      </c>
      <c r="D19" s="22"/>
      <c r="E19" s="85"/>
      <c r="F19" s="85"/>
      <c r="G19" s="12">
        <f t="shared" si="0"/>
      </c>
      <c r="H19" s="22"/>
      <c r="I19" s="22"/>
      <c r="J19" s="22"/>
      <c r="K19" s="85"/>
      <c r="L19" s="22"/>
    </row>
    <row r="20" ht="15" customHeight="1" spans="1:12" x14ac:dyDescent="0.25">
      <c r="A20" s="84">
        <v>16</v>
      </c>
      <c r="B20" s="22"/>
      <c r="C20" s="72">
        <f>IF(B20="","",IFERROR(VLOOKUP(B20,Employes[[ID]:[Nom Complet]],4,FALSE()),""))</f>
      </c>
      <c r="D20" s="22"/>
      <c r="E20" s="85"/>
      <c r="F20" s="85"/>
      <c r="G20" s="12">
        <f t="shared" si="0"/>
      </c>
      <c r="H20" s="22"/>
      <c r="I20" s="22"/>
      <c r="J20" s="22"/>
      <c r="K20" s="85"/>
      <c r="L20" s="22"/>
    </row>
    <row r="21" ht="15" customHeight="1" spans="1:12" x14ac:dyDescent="0.25">
      <c r="A21" s="84">
        <v>17</v>
      </c>
      <c r="B21" s="22"/>
      <c r="C21" s="72">
        <f>IF(B21="","",IFERROR(VLOOKUP(B21,Employes[[ID]:[Nom Complet]],4,FALSE()),""))</f>
      </c>
      <c r="D21" s="22"/>
      <c r="E21" s="85"/>
      <c r="F21" s="85"/>
      <c r="G21" s="12">
        <f t="shared" si="0"/>
      </c>
      <c r="H21" s="22"/>
      <c r="I21" s="22"/>
      <c r="J21" s="22"/>
      <c r="K21" s="85"/>
      <c r="L21" s="22"/>
    </row>
    <row r="22" ht="15" customHeight="1" spans="1:12" x14ac:dyDescent="0.25">
      <c r="A22" s="84">
        <v>18</v>
      </c>
      <c r="B22" s="22"/>
      <c r="C22" s="72">
        <f>IF(B22="","",IFERROR(VLOOKUP(B22,Employes[[ID]:[Nom Complet]],4,FALSE()),""))</f>
      </c>
      <c r="D22" s="22"/>
      <c r="E22" s="85"/>
      <c r="F22" s="85"/>
      <c r="G22" s="12">
        <f t="shared" si="0"/>
      </c>
      <c r="H22" s="22"/>
      <c r="I22" s="22"/>
      <c r="J22" s="22"/>
      <c r="K22" s="85"/>
      <c r="L22" s="22"/>
    </row>
    <row r="23" ht="15" customHeight="1" spans="1:12" x14ac:dyDescent="0.25">
      <c r="A23" s="84">
        <v>19</v>
      </c>
      <c r="B23" s="22"/>
      <c r="C23" s="72">
        <f>IF(B23="","",IFERROR(VLOOKUP(B23,Employes[[ID]:[Nom Complet]],4,FALSE()),""))</f>
      </c>
      <c r="D23" s="22"/>
      <c r="E23" s="85"/>
      <c r="F23" s="85"/>
      <c r="G23" s="12">
        <f t="shared" si="0"/>
      </c>
      <c r="H23" s="22"/>
      <c r="I23" s="22"/>
      <c r="J23" s="22"/>
      <c r="K23" s="85"/>
      <c r="L23" s="22"/>
    </row>
    <row r="24" ht="15" customHeight="1" spans="1:12" x14ac:dyDescent="0.25">
      <c r="A24" s="84">
        <v>20</v>
      </c>
      <c r="B24" s="22"/>
      <c r="C24" s="72">
        <f>IF(B24="","",IFERROR(VLOOKUP(B24,Employes[[ID]:[Nom Complet]],4,FALSE()),""))</f>
      </c>
      <c r="D24" s="22"/>
      <c r="E24" s="85"/>
      <c r="F24" s="85"/>
      <c r="G24" s="12">
        <f t="shared" si="0"/>
      </c>
      <c r="H24" s="22"/>
      <c r="I24" s="22"/>
      <c r="J24" s="22"/>
      <c r="K24" s="85"/>
      <c r="L24" s="22"/>
    </row>
    <row r="27" ht="15" customHeight="1" spans="1:1" x14ac:dyDescent="0.25">
      <c r="A27" s="9" t="s">
        <v>282</v>
      </c>
    </row>
    <row r="28" ht="26.25" customHeight="1" spans="1:6" x14ac:dyDescent="0.25">
      <c r="A28" s="10" t="s">
        <v>144</v>
      </c>
      <c r="B28" s="10" t="s">
        <v>147</v>
      </c>
      <c r="C28" s="10" t="s">
        <v>283</v>
      </c>
      <c r="D28" s="10" t="s">
        <v>284</v>
      </c>
      <c r="E28" s="10" t="s">
        <v>285</v>
      </c>
      <c r="F28" s="10" t="s">
        <v>59</v>
      </c>
    </row>
    <row r="29" ht="15" customHeight="1" spans="1:6" x14ac:dyDescent="0.25">
      <c r="A29" s="12" t="str">
        <f>IF('01_Employes'!A6="","",'01_Employes'!A6)</f>
        <v>EMP001</v>
      </c>
      <c r="B29" s="72" t="str">
        <f>IF(A29="","",'01_Employes'!D6)</f>
        <v>Tsafack Ndongmo Symphonien</v>
      </c>
      <c r="C29" s="18">
        <v>30</v>
      </c>
      <c r="D29" s="12">
        <f t="shared" ref="D29:D41" si="1">IF(A29="","",SUMIFS($G$5:$G$24,$B$5:$B$24,A29,$I$5:$I$24,"Approuvé"))</f>
        <v>0</v>
      </c>
      <c r="E29" s="12">
        <f t="shared" ref="E29:E41" si="2">IF(A29="","",C29-D29)</f>
        <v>30</v>
      </c>
      <c r="F29" s="22"/>
    </row>
    <row r="30" ht="15" customHeight="1" spans="1:6" x14ac:dyDescent="0.25">
      <c r="A30" s="12" t="str">
        <f>IF('01_Employes'!A7="","",'01_Employes'!A7)</f>
        <v>EMP002</v>
      </c>
      <c r="B30" s="72" t="str">
        <f>IF(A30="","",'01_Employes'!D7)</f>
        <v>Pandja Tchatchoua Syriane</v>
      </c>
      <c r="C30" s="18">
        <v>30</v>
      </c>
      <c r="D30" s="12">
        <f t="shared" si="1"/>
        <v>0</v>
      </c>
      <c r="E30" s="12">
        <f t="shared" si="2"/>
        <v>30</v>
      </c>
      <c r="F30" s="22"/>
    </row>
    <row r="31" ht="15" customHeight="1" spans="1:6" x14ac:dyDescent="0.25">
      <c r="A31" s="12" t="str">
        <f>IF('01_Employes'!A8="","",'01_Employes'!A8)</f>
        <v>EMP003</v>
      </c>
      <c r="B31" s="72" t="str">
        <f>IF(A31="","",'01_Employes'!D8)</f>
        <v>Takoueta Yvan</v>
      </c>
      <c r="C31" s="18">
        <v>30</v>
      </c>
      <c r="D31" s="12">
        <f t="shared" si="1"/>
        <v>0</v>
      </c>
      <c r="E31" s="12">
        <f t="shared" si="2"/>
        <v>30</v>
      </c>
      <c r="F31" s="22"/>
    </row>
    <row r="32" ht="15" customHeight="1" spans="1:6" x14ac:dyDescent="0.25">
      <c r="A32" s="12" t="str">
        <f>IF('01_Employes'!A9="","",'01_Employes'!A9)</f>
        <v>EMP004</v>
      </c>
      <c r="B32" s="72" t="str">
        <f>IF(A32="","",'01_Employes'!D9)</f>
        <v>Chekep Faustin</v>
      </c>
      <c r="C32" s="18">
        <v>30</v>
      </c>
      <c r="D32" s="12">
        <f t="shared" si="1"/>
        <v>0</v>
      </c>
      <c r="E32" s="12">
        <f t="shared" si="2"/>
        <v>30</v>
      </c>
      <c r="F32" s="22"/>
    </row>
    <row r="33" ht="15" customHeight="1" spans="1:6" x14ac:dyDescent="0.25">
      <c r="A33" s="12" t="str">
        <f>IF('01_Employes'!A10="","",'01_Employes'!A10)</f>
        <v>EMP005</v>
      </c>
      <c r="B33" s="72" t="str">
        <f>IF(A33="","",'01_Employes'!D10)</f>
        <v>Abdou</v>
      </c>
      <c r="C33" s="18">
        <v>30</v>
      </c>
      <c r="D33" s="12">
        <f t="shared" si="1"/>
        <v>0</v>
      </c>
      <c r="E33" s="12">
        <f t="shared" si="2"/>
        <v>30</v>
      </c>
      <c r="F33" s="22"/>
    </row>
    <row r="34" ht="15" customHeight="1" spans="1:6" x14ac:dyDescent="0.25">
      <c r="A34" s="12" t="str">
        <f>IF('01_Employes'!A11="","",'01_Employes'!A11)</f>
        <v>EMP006</v>
      </c>
      <c r="B34" s="72" t="str">
        <f>IF(A34="","",'01_Employes'!D11)</f>
        <v>Nyontyen Si Jean Vinny</v>
      </c>
      <c r="C34" s="18">
        <v>30</v>
      </c>
      <c r="D34" s="12">
        <f t="shared" si="1"/>
        <v>0</v>
      </c>
      <c r="E34" s="12">
        <f t="shared" si="2"/>
        <v>30</v>
      </c>
      <c r="F34" s="22"/>
    </row>
    <row r="35" ht="15" customHeight="1" spans="1:6" x14ac:dyDescent="0.25">
      <c r="A35" s="12" t="str">
        <f>IF('01_Employes'!A12="","",'01_Employes'!A12)</f>
        <v>EMP007</v>
      </c>
      <c r="B35" s="72" t="str">
        <f>IF(A35="","",'01_Employes'!D12)</f>
        <v>Holé Homsala</v>
      </c>
      <c r="C35" s="18">
        <v>30</v>
      </c>
      <c r="D35" s="12">
        <f t="shared" si="1"/>
        <v>0</v>
      </c>
      <c r="E35" s="12">
        <f t="shared" si="2"/>
        <v>30</v>
      </c>
      <c r="F35" s="22"/>
    </row>
    <row r="36" ht="15" customHeight="1" spans="1:6" x14ac:dyDescent="0.25">
      <c r="A36" s="12" t="str">
        <f>IF('01_Employes'!A13="","",'01_Employes'!A13)</f>
        <v>EMP008</v>
      </c>
      <c r="B36" s="72" t="str">
        <f>IF(A36="","",'01_Employes'!D13)</f>
        <v>Ebene Ngono</v>
      </c>
      <c r="C36" s="18">
        <v>30</v>
      </c>
      <c r="D36" s="12">
        <f t="shared" si="1"/>
        <v>0</v>
      </c>
      <c r="E36" s="12">
        <f t="shared" si="2"/>
        <v>30</v>
      </c>
      <c r="F36" s="22"/>
    </row>
    <row r="37" ht="15" customHeight="1" spans="1:6" x14ac:dyDescent="0.25">
      <c r="A37" s="12" t="str">
        <f>IF('01_Employes'!A14="","",'01_Employes'!A14)</f>
        <v>EMP009</v>
      </c>
      <c r="B37" s="72" t="str">
        <f>IF(A37="","",'01_Employes'!D14)</f>
        <v>Tineba Vital Eric</v>
      </c>
      <c r="C37" s="18">
        <v>30</v>
      </c>
      <c r="D37" s="12">
        <f t="shared" si="1"/>
        <v>0</v>
      </c>
      <c r="E37" s="12">
        <f t="shared" si="2"/>
        <v>30</v>
      </c>
      <c r="F37" s="22"/>
    </row>
    <row r="38" ht="15" customHeight="1" spans="1:6" x14ac:dyDescent="0.25">
      <c r="A38" s="12" t="str">
        <f>IF('01_Employes'!A15="","",'01_Employes'!A15)</f>
        <v>EMP010</v>
      </c>
      <c r="B38" s="72" t="str">
        <f>IF(A38="","",'01_Employes'!D15)</f>
        <v>Deutchoua Tientcheu Christian</v>
      </c>
      <c r="C38" s="18">
        <v>30</v>
      </c>
      <c r="D38" s="12">
        <f t="shared" si="1"/>
        <v>0</v>
      </c>
      <c r="E38" s="12">
        <f t="shared" si="2"/>
        <v>30</v>
      </c>
      <c r="F38" s="22"/>
    </row>
    <row r="39" ht="15" customHeight="1" spans="1:6" x14ac:dyDescent="0.25">
      <c r="A39" s="12" t="str">
        <f>IF('01_Employes'!A16="","",'01_Employes'!A16)</f>
        <v>EMP011</v>
      </c>
      <c r="B39" s="72" t="str">
        <f>IF(A39="","",'01_Employes'!D16)</f>
        <v>Fouakouet Youssoufa</v>
      </c>
      <c r="C39" s="18">
        <v>30</v>
      </c>
      <c r="D39" s="12">
        <f t="shared" si="1"/>
        <v>0</v>
      </c>
      <c r="E39" s="12">
        <f t="shared" si="2"/>
        <v>30</v>
      </c>
      <c r="F39" s="22"/>
    </row>
    <row r="40" ht="15" customHeight="1" spans="1:6" x14ac:dyDescent="0.25">
      <c r="A40" s="12" t="str">
        <f>IF('01_Employes'!A17="","",'01_Employes'!A17)</f>
        <v>EMP012</v>
      </c>
      <c r="B40" s="72" t="str">
        <f>IF(A40="","",'01_Employes'!D17)</f>
        <v>Ngouamera Adrien Gildas</v>
      </c>
      <c r="C40" s="18">
        <v>30</v>
      </c>
      <c r="D40" s="12">
        <f t="shared" si="1"/>
        <v>0</v>
      </c>
      <c r="E40" s="12">
        <f t="shared" si="2"/>
        <v>30</v>
      </c>
      <c r="F40" s="22"/>
    </row>
    <row r="41" ht="15" customHeight="1" spans="1:6" x14ac:dyDescent="0.25">
      <c r="A41" s="12" t="str">
        <f>IF('01_Employes'!A18="","",'01_Employes'!A18)</f>
        <v>EMP013</v>
      </c>
      <c r="B41" s="72" t="str">
        <f>IF(A41="","",'01_Employes'!D18)</f>
        <v>Nague Zemdjui Arnaud</v>
      </c>
      <c r="C41" s="18">
        <v>30</v>
      </c>
      <c r="D41" s="12">
        <f t="shared" si="1"/>
        <v>0</v>
      </c>
      <c r="E41" s="12">
        <f t="shared" si="2"/>
        <v>30</v>
      </c>
      <c r="F41" s="22"/>
    </row>
  </sheetData>
  <sheetProtection sheet="1" formatCells="0" formatColumns="0" formatRows="0" autoFilter="0" algorithmName="SHA-512" hashValue="HRlFllN8xxOj2myIfSbNsrW07ZNdu0vOMbGyxZ/IL8BrUB671N4YdJupYO++m84w2Pevuv+RaGJ1Tt7xBg+3mA==" saltValue="noHh4l+rfxW4ErKnJOxBmg==" spinCount="100000"/>
  <mergeCells count="1">
    <mergeCell ref="A1:L1"/>
  </mergeCells>
  <dataValidations count="4">
    <dataValidation type="list" allowBlank="1" sqref="B10:B24">
      <formula1>INDIRECT("Employes[ID]")</formula1>
      <formula2>0</formula2>
    </dataValidation>
    <dataValidation type="list" allowBlank="1" sqref="B5:B24">
      <formula1>INDIRECT("Employes[ID]")</formula1>
      <formula2>0</formula2>
    </dataValidation>
    <dataValidation type="list" allowBlank="1" sqref="I10:I24">
      <formula1>"En attente,Approuvé,Refusé,Annulé"</formula1>
      <formula2>0</formula2>
    </dataValidation>
    <dataValidation type="list" allowBlank="1" sqref="I5:I24">
      <formula1>"En attente,Approuvé,Refusé,Annulé"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zoomScale="100" zoomScaleNormal="100">
      <pane ySplit="3" topLeftCell="A4" activePane="bottomLeft" state="frozen"/>
      <selection pane="bottomLeft" activeCell="H4" sqref="H4"/>
    </sheetView>
  </sheetViews>
  <sheetFormatPr defaultRowHeight="15" outlineLevelRow="0" outlineLevelCol="0" x14ac:dyDescent="0.25" defaultColWidth="8.7109375"/>
  <cols>
    <col min="1" max="1" width="10" customWidth="1"/>
    <col min="2" max="2" width="26" customWidth="1"/>
    <col min="3" max="5" width="12" customWidth="1"/>
    <col min="6" max="6" width="11" customWidth="1"/>
    <col min="7" max="8" width="14" customWidth="1"/>
    <col min="9" max="9" width="20" customWidth="1"/>
    <col min="10" max="10" width="14" customWidth="1"/>
    <col min="11" max="11" width="25" customWidth="1"/>
  </cols>
  <sheetData>
    <row r="1" ht="21.75" customHeight="1" spans="1:11" x14ac:dyDescent="0.25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ht="26.25" customHeight="1" spans="1:11" x14ac:dyDescent="0.25">
      <c r="A3" s="10" t="s">
        <v>144</v>
      </c>
      <c r="B3" s="10" t="s">
        <v>147</v>
      </c>
      <c r="C3" s="10" t="s">
        <v>287</v>
      </c>
      <c r="D3" s="10" t="s">
        <v>250</v>
      </c>
      <c r="E3" s="10" t="s">
        <v>251</v>
      </c>
      <c r="F3" s="10" t="s">
        <v>288</v>
      </c>
      <c r="G3" s="10" t="s">
        <v>289</v>
      </c>
      <c r="H3" s="10" t="s">
        <v>290</v>
      </c>
      <c r="I3" s="10" t="s">
        <v>291</v>
      </c>
      <c r="J3" s="10" t="s">
        <v>292</v>
      </c>
      <c r="K3" s="10" t="s">
        <v>265</v>
      </c>
    </row>
    <row r="4" ht="15" customHeight="1" spans="1:11" x14ac:dyDescent="0.25">
      <c r="A4" s="12" t="str">
        <f>IF('01_Employes'!A6="","",'01_Employes'!A6)</f>
        <v>EMP001</v>
      </c>
      <c r="B4" s="72" t="str">
        <f>IF(A4="","",'01_Employes'!D6)</f>
        <v>Tsafack Ndongmo Symphonien</v>
      </c>
      <c r="C4" s="12" t="str">
        <f>IF(A4="","",'01_Employes'!K6)</f>
        <v>CDI</v>
      </c>
      <c r="D4" s="85"/>
      <c r="E4" s="85"/>
      <c r="F4" s="12">
        <f t="shared" ref="F4:F16" si="0">IF(OR(D4="",E4=""),"",ROUND((E4-D4)/30,1))</f>
      </c>
      <c r="G4" s="85"/>
      <c r="H4" s="73">
        <f>IF(A4="","",'01_Employes'!L6)</f>
        <v>150000</v>
      </c>
      <c r="I4" s="22"/>
      <c r="J4" s="22"/>
      <c r="K4" s="22"/>
    </row>
    <row r="5" ht="15" customHeight="1" spans="1:11" x14ac:dyDescent="0.25">
      <c r="A5" s="12" t="str">
        <f>IF('01_Employes'!A7="","",'01_Employes'!A7)</f>
        <v>EMP002</v>
      </c>
      <c r="B5" s="72" t="str">
        <f>IF(A5="","",'01_Employes'!D7)</f>
        <v>Pandja Tchatchoua Syriane</v>
      </c>
      <c r="C5" s="12" t="str">
        <f>IF(A5="","",'01_Employes'!K7)</f>
        <v>CDI</v>
      </c>
      <c r="D5" s="85"/>
      <c r="E5" s="85"/>
      <c r="F5" s="12">
        <f t="shared" si="0"/>
      </c>
      <c r="G5" s="85"/>
      <c r="H5" s="73">
        <f>IF(A5="","",'01_Employes'!L7)</f>
        <v>100000</v>
      </c>
      <c r="I5" s="22"/>
      <c r="J5" s="22"/>
      <c r="K5" s="22"/>
    </row>
    <row r="6" ht="15" customHeight="1" spans="1:11" x14ac:dyDescent="0.25">
      <c r="A6" s="12" t="str">
        <f>IF('01_Employes'!A8="","",'01_Employes'!A8)</f>
        <v>EMP003</v>
      </c>
      <c r="B6" s="72" t="str">
        <f>IF(A6="","",'01_Employes'!D8)</f>
        <v>Takoueta Yvan</v>
      </c>
      <c r="C6" s="12" t="str">
        <f>IF(A6="","",'01_Employes'!K8)</f>
        <v>CDI</v>
      </c>
      <c r="D6" s="85"/>
      <c r="E6" s="85"/>
      <c r="F6" s="12">
        <f t="shared" si="0"/>
      </c>
      <c r="G6" s="85"/>
      <c r="H6" s="73">
        <f>IF(A6="","",'01_Employes'!L8)</f>
        <v>150000</v>
      </c>
      <c r="I6" s="22"/>
      <c r="J6" s="22"/>
      <c r="K6" s="22"/>
    </row>
    <row r="7" ht="15" customHeight="1" spans="1:11" x14ac:dyDescent="0.25">
      <c r="A7" s="12" t="str">
        <f>IF('01_Employes'!A9="","",'01_Employes'!A9)</f>
        <v>EMP004</v>
      </c>
      <c r="B7" s="72" t="str">
        <f>IF(A7="","",'01_Employes'!D9)</f>
        <v>Chekep Faustin</v>
      </c>
      <c r="C7" s="12" t="str">
        <f>IF(A7="","",'01_Employes'!K9)</f>
        <v>CDI</v>
      </c>
      <c r="D7" s="85"/>
      <c r="E7" s="85"/>
      <c r="F7" s="12">
        <f t="shared" si="0"/>
      </c>
      <c r="G7" s="85"/>
      <c r="H7" s="73">
        <f>IF(A7="","",'01_Employes'!L9)</f>
        <v>120000</v>
      </c>
      <c r="I7" s="22"/>
      <c r="J7" s="22"/>
      <c r="K7" s="22"/>
    </row>
    <row r="8" ht="23.25" customHeight="1" spans="1:11" x14ac:dyDescent="0.25">
      <c r="A8" s="12" t="str">
        <f>IF('01_Employes'!A10="","",'01_Employes'!A10)</f>
        <v>EMP005</v>
      </c>
      <c r="B8" s="72" t="str">
        <f>IF(A8="","",'01_Employes'!D10)</f>
        <v>Abdou</v>
      </c>
      <c r="C8" s="12" t="str">
        <f>IF(A8="","",'01_Employes'!K10)</f>
        <v>Apprentissage</v>
      </c>
      <c r="D8" s="85"/>
      <c r="E8" s="85"/>
      <c r="F8" s="12">
        <f t="shared" si="0"/>
      </c>
      <c r="G8" s="85"/>
      <c r="H8" s="73">
        <f>IF(A8="","",'01_Employes'!L10)</f>
        <v>80000</v>
      </c>
      <c r="I8" s="22"/>
      <c r="J8" s="22"/>
      <c r="K8" s="22"/>
    </row>
    <row r="9" ht="23.25" customHeight="1" spans="1:11" x14ac:dyDescent="0.25">
      <c r="A9" s="12" t="str">
        <f>IF('01_Employes'!A11="","",'01_Employes'!A11)</f>
        <v>EMP006</v>
      </c>
      <c r="B9" s="72" t="str">
        <f>IF(A9="","",'01_Employes'!D11)</f>
        <v>Nyontyen Si Jean Vinny</v>
      </c>
      <c r="C9" s="12" t="str">
        <f>IF(A9="","",'01_Employes'!K11)</f>
        <v>Apprentissage</v>
      </c>
      <c r="D9" s="85"/>
      <c r="E9" s="85"/>
      <c r="F9" s="12">
        <f t="shared" si="0"/>
      </c>
      <c r="G9" s="85"/>
      <c r="H9" s="73">
        <f>IF(A9="","",'01_Employes'!L11)</f>
        <v>80000</v>
      </c>
      <c r="I9" s="22"/>
      <c r="J9" s="22"/>
      <c r="K9" s="22"/>
    </row>
    <row r="10" ht="23.25" customHeight="1" spans="1:11" x14ac:dyDescent="0.25">
      <c r="A10" s="12" t="str">
        <f>IF('01_Employes'!A12="","",'01_Employes'!A12)</f>
        <v>EMP007</v>
      </c>
      <c r="B10" s="72" t="str">
        <f>IF(A10="","",'01_Employes'!D12)</f>
        <v>Holé Homsala</v>
      </c>
      <c r="C10" s="12" t="str">
        <f>IF(A10="","",'01_Employes'!K12)</f>
        <v>Apprentissage</v>
      </c>
      <c r="D10" s="85"/>
      <c r="E10" s="85"/>
      <c r="F10" s="12">
        <f t="shared" si="0"/>
      </c>
      <c r="G10" s="85"/>
      <c r="H10" s="73">
        <f>IF(A10="","",'01_Employes'!L12)</f>
        <v>80000</v>
      </c>
      <c r="I10" s="22"/>
      <c r="J10" s="22"/>
      <c r="K10" s="22"/>
    </row>
    <row r="11" ht="23.25" customHeight="1" spans="1:11" x14ac:dyDescent="0.25">
      <c r="A11" s="12" t="str">
        <f>IF('01_Employes'!A13="","",'01_Employes'!A13)</f>
        <v>EMP008</v>
      </c>
      <c r="B11" s="72" t="str">
        <f>IF(A11="","",'01_Employes'!D13)</f>
        <v>Ebene Ngono</v>
      </c>
      <c r="C11" s="12" t="str">
        <f>IF(A11="","",'01_Employes'!K13)</f>
        <v>Apprentissage</v>
      </c>
      <c r="D11" s="85"/>
      <c r="E11" s="85"/>
      <c r="F11" s="12">
        <f t="shared" si="0"/>
      </c>
      <c r="G11" s="85"/>
      <c r="H11" s="73">
        <f>IF(A11="","",'01_Employes'!L13)</f>
        <v>80000</v>
      </c>
      <c r="I11" s="22"/>
      <c r="J11" s="22"/>
      <c r="K11" s="22"/>
    </row>
    <row r="12" ht="23.25" customHeight="1" spans="1:11" x14ac:dyDescent="0.25">
      <c r="A12" s="12" t="str">
        <f>IF('01_Employes'!A14="","",'01_Employes'!A14)</f>
        <v>EMP009</v>
      </c>
      <c r="B12" s="72" t="str">
        <f>IF(A12="","",'01_Employes'!D14)</f>
        <v>Tineba Vital Eric</v>
      </c>
      <c r="C12" s="12" t="str">
        <f>IF(A12="","",'01_Employes'!K14)</f>
        <v>Apprentissage</v>
      </c>
      <c r="D12" s="85"/>
      <c r="E12" s="85"/>
      <c r="F12" s="12">
        <f t="shared" si="0"/>
      </c>
      <c r="G12" s="85"/>
      <c r="H12" s="73">
        <f>IF(A12="","",'01_Employes'!L14)</f>
        <v>80000</v>
      </c>
      <c r="I12" s="22"/>
      <c r="J12" s="22"/>
      <c r="K12" s="22"/>
    </row>
    <row r="13" ht="23.25" customHeight="1" spans="1:11" x14ac:dyDescent="0.25">
      <c r="A13" s="12" t="str">
        <f>IF('01_Employes'!A15="","",'01_Employes'!A15)</f>
        <v>EMP010</v>
      </c>
      <c r="B13" s="72" t="str">
        <f>IF(A13="","",'01_Employes'!D15)</f>
        <v>Deutchoua Tientcheu Christian</v>
      </c>
      <c r="C13" s="12" t="str">
        <f>IF(A13="","",'01_Employes'!K15)</f>
        <v>Apprentissage</v>
      </c>
      <c r="D13" s="85"/>
      <c r="E13" s="85"/>
      <c r="F13" s="12">
        <f t="shared" si="0"/>
      </c>
      <c r="G13" s="85"/>
      <c r="H13" s="73">
        <f>IF(A13="","",'01_Employes'!L15)</f>
        <v>80000</v>
      </c>
      <c r="I13" s="22"/>
      <c r="J13" s="22"/>
      <c r="K13" s="22"/>
    </row>
    <row r="14" ht="23.25" customHeight="1" spans="1:11" x14ac:dyDescent="0.25">
      <c r="A14" s="12" t="str">
        <f>IF('01_Employes'!A16="","",'01_Employes'!A16)</f>
        <v>EMP011</v>
      </c>
      <c r="B14" s="72" t="str">
        <f>IF(A14="","",'01_Employes'!D16)</f>
        <v>Fouakouet Youssoufa</v>
      </c>
      <c r="C14" s="12" t="str">
        <f>IF(A14="","",'01_Employes'!K16)</f>
        <v>Apprentissage</v>
      </c>
      <c r="D14" s="85"/>
      <c r="E14" s="85"/>
      <c r="F14" s="12">
        <f t="shared" si="0"/>
      </c>
      <c r="G14" s="85"/>
      <c r="H14" s="73">
        <f>IF(A14="","",'01_Employes'!L16)</f>
        <v>80000</v>
      </c>
      <c r="I14" s="22"/>
      <c r="J14" s="22"/>
      <c r="K14" s="22"/>
    </row>
    <row r="15" ht="23.25" customHeight="1" spans="1:11" x14ac:dyDescent="0.25">
      <c r="A15" s="12" t="str">
        <f>IF('01_Employes'!A17="","",'01_Employes'!A17)</f>
        <v>EMP012</v>
      </c>
      <c r="B15" s="72" t="str">
        <f>IF(A15="","",'01_Employes'!D17)</f>
        <v>Ngouamera Adrien Gildas</v>
      </c>
      <c r="C15" s="12" t="str">
        <f>IF(A15="","",'01_Employes'!K17)</f>
        <v>Apprentissage</v>
      </c>
      <c r="D15" s="85"/>
      <c r="E15" s="85"/>
      <c r="F15" s="12">
        <f t="shared" si="0"/>
      </c>
      <c r="G15" s="85"/>
      <c r="H15" s="73">
        <f>IF(A15="","",'01_Employes'!L17)</f>
        <v>80000</v>
      </c>
      <c r="I15" s="22"/>
      <c r="J15" s="22"/>
      <c r="K15" s="22"/>
    </row>
    <row r="16" ht="15" customHeight="1" spans="1:11" x14ac:dyDescent="0.25">
      <c r="A16" s="12" t="str">
        <f>IF('01_Employes'!A18="","",'01_Employes'!A18)</f>
        <v>EMP013</v>
      </c>
      <c r="B16" s="72" t="str">
        <f>IF(A16="","",'01_Employes'!D18)</f>
        <v>Nague Zemdjui Arnaud</v>
      </c>
      <c r="C16" s="12" t="str">
        <f>IF(A16="","",'01_Employes'!K18)</f>
        <v>CDD</v>
      </c>
      <c r="D16" s="85"/>
      <c r="E16" s="85"/>
      <c r="F16" s="12">
        <f t="shared" si="0"/>
      </c>
      <c r="G16" s="85"/>
      <c r="H16" s="73">
        <f>IF(A16="","",'01_Employes'!L18)</f>
        <v>200000</v>
      </c>
      <c r="I16" s="22"/>
      <c r="J16" s="22"/>
      <c r="K16" s="22"/>
    </row>
  </sheetData>
  <sheetProtection sheet="1" formatCells="0" formatColumns="0" formatRows="0" autoFilter="0" algorithmName="SHA-512" hashValue="HU6gdH+ob9nTz3iLhijvDsvKxFIrBM0s1Oa/7CGWmYN9pztzKES/HDs2cEmYpVdzFKtV4bXZYQFo9rMNmSFAmQ==" saltValue="LIB6hKXgnfZ/Qui2y3V82w==" spinCount="100000"/>
  <mergeCells count="1">
    <mergeCell ref="A1:K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8.7109375"/>
  <cols>
    <col min="1" max="1" width="10" customWidth="1"/>
    <col min="2" max="2" width="26" customWidth="1"/>
    <col min="3" max="3" width="16" customWidth="1"/>
    <col min="4" max="4" width="18" customWidth="1"/>
    <col min="5" max="5" width="11" customWidth="1"/>
    <col min="6" max="6" width="25" customWidth="1"/>
    <col min="7" max="7" width="22" customWidth="1"/>
    <col min="8" max="8" width="18" customWidth="1"/>
    <col min="9" max="9" width="12" customWidth="1"/>
    <col min="10" max="11" width="20" customWidth="1"/>
    <col min="12" max="12" width="14" customWidth="1"/>
  </cols>
  <sheetData>
    <row r="1" ht="21.75" customHeight="1" spans="1:12" x14ac:dyDescent="0.25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6.25" customHeight="1" spans="1:12" x14ac:dyDescent="0.25">
      <c r="A3" s="10" t="s">
        <v>144</v>
      </c>
      <c r="B3" s="10" t="s">
        <v>147</v>
      </c>
      <c r="C3" s="10" t="s">
        <v>11</v>
      </c>
      <c r="D3" s="10" t="s">
        <v>294</v>
      </c>
      <c r="E3" s="10" t="s">
        <v>295</v>
      </c>
      <c r="F3" s="10" t="s">
        <v>296</v>
      </c>
      <c r="G3" s="10" t="s">
        <v>297</v>
      </c>
      <c r="H3" s="10" t="s">
        <v>298</v>
      </c>
      <c r="I3" s="10" t="s">
        <v>299</v>
      </c>
      <c r="J3" s="10" t="s">
        <v>300</v>
      </c>
      <c r="K3" s="10" t="s">
        <v>301</v>
      </c>
      <c r="L3" s="10" t="s">
        <v>302</v>
      </c>
    </row>
    <row r="4" ht="15" customHeight="1" spans="1:12" x14ac:dyDescent="0.25">
      <c r="A4" s="12" t="str">
        <f>IF('01_Employes'!A6="","",'01_Employes'!A6)</f>
        <v>EMP001</v>
      </c>
      <c r="B4" s="72" t="str">
        <f>IF(A4="","",'01_Employes'!D6)</f>
        <v>Tsafack Ndongmo Symphonien</v>
      </c>
      <c r="C4" s="72" t="str">
        <f>IF(A4="","",'01_Employes'!E6)</f>
        <v>Administrateur</v>
      </c>
      <c r="D4" s="22"/>
      <c r="E4" s="22"/>
      <c r="F4" s="22"/>
      <c r="G4" s="22"/>
      <c r="H4" s="22"/>
      <c r="I4" s="22"/>
      <c r="J4" s="22"/>
      <c r="K4" s="22"/>
      <c r="L4" s="85"/>
    </row>
    <row r="5" ht="15" customHeight="1" spans="1:12" x14ac:dyDescent="0.25">
      <c r="A5" s="12" t="str">
        <f>IF('01_Employes'!A7="","",'01_Employes'!A7)</f>
        <v>EMP002</v>
      </c>
      <c r="B5" s="72" t="str">
        <f>IF(A5="","",'01_Employes'!D7)</f>
        <v>Pandja Tchatchoua Syriane</v>
      </c>
      <c r="C5" s="72" t="str">
        <f>IF(A5="","",'01_Employes'!E7)</f>
        <v>Secrétaire</v>
      </c>
      <c r="D5" s="22"/>
      <c r="E5" s="22"/>
      <c r="F5" s="22"/>
      <c r="G5" s="22"/>
      <c r="H5" s="22"/>
      <c r="I5" s="22"/>
      <c r="J5" s="22"/>
      <c r="K5" s="22"/>
      <c r="L5" s="85"/>
    </row>
    <row r="6" ht="15" customHeight="1" spans="1:12" x14ac:dyDescent="0.25">
      <c r="A6" s="12" t="str">
        <f>IF('01_Employes'!A8="","",'01_Employes'!A8)</f>
        <v>EMP003</v>
      </c>
      <c r="B6" s="72" t="str">
        <f>IF(A6="","",'01_Employes'!D8)</f>
        <v>Takoueta Yvan</v>
      </c>
      <c r="C6" s="72" t="str">
        <f>IF(A6="","",'01_Employes'!E8)</f>
        <v>Chef des ateliers</v>
      </c>
      <c r="D6" s="22"/>
      <c r="E6" s="22"/>
      <c r="F6" s="22"/>
      <c r="G6" s="22"/>
      <c r="H6" s="22"/>
      <c r="I6" s="22"/>
      <c r="J6" s="22"/>
      <c r="K6" s="22"/>
      <c r="L6" s="85"/>
    </row>
    <row r="7" ht="15" customHeight="1" spans="1:12" x14ac:dyDescent="0.25">
      <c r="A7" s="12" t="str">
        <f>IF('01_Employes'!A9="","",'01_Employes'!A9)</f>
        <v>EMP004</v>
      </c>
      <c r="B7" s="72" t="str">
        <f>IF(A7="","",'01_Employes'!D9)</f>
        <v>Chekep Faustin</v>
      </c>
      <c r="C7" s="72" t="str">
        <f>IF(A7="","",'01_Employes'!E9)</f>
        <v>Mécanicien</v>
      </c>
      <c r="D7" s="22"/>
      <c r="E7" s="22"/>
      <c r="F7" s="22"/>
      <c r="G7" s="22"/>
      <c r="H7" s="22"/>
      <c r="I7" s="22"/>
      <c r="J7" s="22"/>
      <c r="K7" s="22"/>
      <c r="L7" s="85"/>
    </row>
    <row r="8" ht="15" customHeight="1" spans="1:12" x14ac:dyDescent="0.25">
      <c r="A8" s="12" t="str">
        <f>IF('01_Employes'!A10="","",'01_Employes'!A10)</f>
        <v>EMP005</v>
      </c>
      <c r="B8" s="72" t="str">
        <f>IF(A8="","",'01_Employes'!D10)</f>
        <v>Abdou</v>
      </c>
      <c r="C8" s="72" t="str">
        <f>IF(A8="","",'01_Employes'!E10)</f>
        <v>Tôlier</v>
      </c>
      <c r="D8" s="22"/>
      <c r="E8" s="22"/>
      <c r="F8" s="22"/>
      <c r="G8" s="22"/>
      <c r="H8" s="22"/>
      <c r="I8" s="22"/>
      <c r="J8" s="22"/>
      <c r="K8" s="22"/>
      <c r="L8" s="85"/>
    </row>
    <row r="9" ht="15" customHeight="1" spans="1:12" x14ac:dyDescent="0.25">
      <c r="A9" s="12" t="str">
        <f>IF('01_Employes'!A11="","",'01_Employes'!A11)</f>
        <v>EMP006</v>
      </c>
      <c r="B9" s="72" t="str">
        <f>IF(A9="","",'01_Employes'!D11)</f>
        <v>Nyontyen Si Jean Vinny</v>
      </c>
      <c r="C9" s="72" t="str">
        <f>IF(A9="","",'01_Employes'!E11)</f>
        <v>Mécanicien</v>
      </c>
      <c r="D9" s="22"/>
      <c r="E9" s="22"/>
      <c r="F9" s="22"/>
      <c r="G9" s="22"/>
      <c r="H9" s="22"/>
      <c r="I9" s="22"/>
      <c r="J9" s="22"/>
      <c r="K9" s="22"/>
      <c r="L9" s="85"/>
    </row>
    <row r="10" ht="15" customHeight="1" spans="1:12" x14ac:dyDescent="0.25">
      <c r="A10" s="12" t="str">
        <f>IF('01_Employes'!A12="","",'01_Employes'!A12)</f>
        <v>EMP007</v>
      </c>
      <c r="B10" s="72" t="str">
        <f>IF(A10="","",'01_Employes'!D12)</f>
        <v>Holé Homsala</v>
      </c>
      <c r="C10" s="72" t="str">
        <f>IF(A10="","",'01_Employes'!E12)</f>
        <v>Magasinier</v>
      </c>
      <c r="D10" s="22"/>
      <c r="E10" s="22"/>
      <c r="F10" s="22"/>
      <c r="G10" s="22"/>
      <c r="H10" s="22"/>
      <c r="I10" s="22"/>
      <c r="J10" s="22"/>
      <c r="K10" s="22"/>
      <c r="L10" s="85"/>
    </row>
    <row r="11" ht="15" customHeight="1" spans="1:12" x14ac:dyDescent="0.25">
      <c r="A11" s="12" t="str">
        <f>IF('01_Employes'!A13="","",'01_Employes'!A13)</f>
        <v>EMP008</v>
      </c>
      <c r="B11" s="72" t="str">
        <f>IF(A11="","",'01_Employes'!D13)</f>
        <v>Ebene Ngono</v>
      </c>
      <c r="C11" s="72" t="str">
        <f>IF(A11="","",'01_Employes'!E13)</f>
        <v>Mécanicien</v>
      </c>
      <c r="D11" s="22"/>
      <c r="E11" s="22"/>
      <c r="F11" s="22"/>
      <c r="G11" s="22"/>
      <c r="H11" s="22"/>
      <c r="I11" s="22"/>
      <c r="J11" s="22"/>
      <c r="K11" s="22"/>
      <c r="L11" s="85"/>
    </row>
    <row r="12" ht="15" customHeight="1" spans="1:12" x14ac:dyDescent="0.25">
      <c r="A12" s="12" t="str">
        <f>IF('01_Employes'!A14="","",'01_Employes'!A14)</f>
        <v>EMP009</v>
      </c>
      <c r="B12" s="72" t="str">
        <f>IF(A12="","",'01_Employes'!D14)</f>
        <v>Tineba Vital Eric</v>
      </c>
      <c r="C12" s="72" t="str">
        <f>IF(A12="","",'01_Employes'!E14)</f>
        <v>Mécanicien</v>
      </c>
      <c r="D12" s="22"/>
      <c r="E12" s="22"/>
      <c r="F12" s="22"/>
      <c r="G12" s="22"/>
      <c r="H12" s="22"/>
      <c r="I12" s="22"/>
      <c r="J12" s="22"/>
      <c r="K12" s="22"/>
      <c r="L12" s="85"/>
    </row>
    <row r="13" ht="15" customHeight="1" spans="1:12" x14ac:dyDescent="0.25">
      <c r="A13" s="12" t="str">
        <f>IF('01_Employes'!A15="","",'01_Employes'!A15)</f>
        <v>EMP010</v>
      </c>
      <c r="B13" s="72" t="str">
        <f>IF(A13="","",'01_Employes'!D15)</f>
        <v>Deutchoua Tientcheu Christian</v>
      </c>
      <c r="C13" s="72" t="str">
        <f>IF(A13="","",'01_Employes'!E15)</f>
        <v>Mécanicien</v>
      </c>
      <c r="D13" s="22"/>
      <c r="E13" s="22"/>
      <c r="F13" s="22"/>
      <c r="G13" s="22"/>
      <c r="H13" s="22"/>
      <c r="I13" s="22"/>
      <c r="J13" s="22"/>
      <c r="K13" s="22"/>
      <c r="L13" s="85"/>
    </row>
    <row r="14" ht="15" customHeight="1" spans="1:12" x14ac:dyDescent="0.25">
      <c r="A14" s="12" t="str">
        <f>IF('01_Employes'!A16="","",'01_Employes'!A16)</f>
        <v>EMP011</v>
      </c>
      <c r="B14" s="72" t="str">
        <f>IF(A14="","",'01_Employes'!D16)</f>
        <v>Fouakouet Youssoufa</v>
      </c>
      <c r="C14" s="72" t="str">
        <f>IF(A14="","",'01_Employes'!E16)</f>
        <v>Électronicien</v>
      </c>
      <c r="D14" s="22"/>
      <c r="E14" s="22"/>
      <c r="F14" s="22"/>
      <c r="G14" s="22"/>
      <c r="H14" s="22"/>
      <c r="I14" s="22"/>
      <c r="J14" s="22"/>
      <c r="K14" s="22"/>
      <c r="L14" s="85"/>
    </row>
    <row r="15" ht="15" customHeight="1" spans="1:12" x14ac:dyDescent="0.25">
      <c r="A15" s="12" t="str">
        <f>IF('01_Employes'!A17="","",'01_Employes'!A17)</f>
        <v>EMP012</v>
      </c>
      <c r="B15" s="72" t="str">
        <f>IF(A15="","",'01_Employes'!D17)</f>
        <v>Ngouamera Adrien Gildas</v>
      </c>
      <c r="C15" s="72" t="str">
        <f>IF(A15="","",'01_Employes'!E17)</f>
        <v>Mécanicien</v>
      </c>
      <c r="D15" s="22"/>
      <c r="E15" s="22"/>
      <c r="F15" s="22"/>
      <c r="G15" s="22"/>
      <c r="H15" s="22"/>
      <c r="I15" s="22"/>
      <c r="J15" s="22"/>
      <c r="K15" s="22"/>
      <c r="L15" s="85"/>
    </row>
    <row r="16" ht="15" customHeight="1" spans="1:12" x14ac:dyDescent="0.25">
      <c r="A16" s="12" t="str">
        <f>IF('01_Employes'!A18="","",'01_Employes'!A18)</f>
        <v>EMP013</v>
      </c>
      <c r="B16" s="72" t="str">
        <f>IF(A16="","",'01_Employes'!D18)</f>
        <v>Nague Zemdjui Arnaud</v>
      </c>
      <c r="C16" s="72" t="str">
        <f>IF(A16="","",'01_Employes'!E18)</f>
        <v>Assistant Administratif</v>
      </c>
      <c r="D16" s="22"/>
      <c r="E16" s="22"/>
      <c r="F16" s="22"/>
      <c r="G16" s="22"/>
      <c r="H16" s="22"/>
      <c r="I16" s="22"/>
      <c r="J16" s="22"/>
      <c r="K16" s="22"/>
      <c r="L16" s="85"/>
    </row>
  </sheetData>
  <sheetProtection sheet="1" formatCells="0" formatColumns="0" formatRows="0" autoFilter="0" algorithmName="SHA-512" hashValue="B7zhrO2tJf1YK3kqKTWz7kq7tUxAJQKy3BOXra4vFIXSW8gNn1YuqAoCtW6QzW2pv3vg7pKttkDVk1zwelgAvg==" saltValue="sNA5sniEvtLAO7OPo8+KvQ==" spinCount="100000"/>
  <mergeCells count="1">
    <mergeCell ref="A1:L1"/>
  </mergeCells>
  <dataValidations count="2">
    <dataValidation type="list" allowBlank="1" sqref="E10:E16">
      <formula1>"1,2,3,4,5"</formula1>
      <formula2>0</formula2>
    </dataValidation>
    <dataValidation type="list" allowBlank="1" sqref="E4:E16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.25" defaultColWidth="8.7109375"/>
  <cols>
    <col min="1" max="1" width="10" customWidth="1"/>
    <col min="2" max="2" width="26" customWidth="1"/>
    <col min="3" max="3" width="16" customWidth="1"/>
    <col min="4" max="9" width="14" customWidth="1"/>
  </cols>
  <sheetData>
    <row r="1" ht="21.75" customHeight="1" spans="1:9" x14ac:dyDescent="0.25">
      <c r="A1" s="1" t="s">
        <v>303</v>
      </c>
      <c r="B1" s="2"/>
      <c r="C1" s="2"/>
      <c r="D1" s="2"/>
      <c r="E1" s="2"/>
      <c r="F1" s="2"/>
      <c r="G1" s="2"/>
      <c r="H1" s="2"/>
      <c r="I1" s="2"/>
    </row>
    <row r="2" ht="15" customHeight="1" spans="1:4" x14ac:dyDescent="0.25">
      <c r="A2" t="s">
        <v>304</v>
      </c>
      <c r="B2" s="86">
        <v>46251</v>
      </c>
      <c r="C2" t="s">
        <v>305</v>
      </c>
      <c r="D2" s="86">
        <v>46256</v>
      </c>
    </row>
    <row r="4" ht="15" customHeight="1" spans="1:9" x14ac:dyDescent="0.25">
      <c r="A4" s="10" t="s">
        <v>144</v>
      </c>
      <c r="B4" s="10" t="s">
        <v>147</v>
      </c>
      <c r="C4" s="10" t="s">
        <v>11</v>
      </c>
      <c r="D4" s="10" t="s">
        <v>60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</row>
    <row r="5" ht="15" customHeight="1" spans="1:9" x14ac:dyDescent="0.25">
      <c r="A5" s="12" t="str">
        <f>IF('01_Employes'!A6="","",'01_Employes'!A6)</f>
        <v>EMP001</v>
      </c>
      <c r="B5" s="72" t="str">
        <f>IF(A5="","",'01_Employes'!D6)</f>
        <v>Tsafack Ndongmo Symphonien</v>
      </c>
      <c r="C5" s="72" t="str">
        <f>IF(A5="","",'01_Employes'!E6)</f>
        <v>Administrateur</v>
      </c>
      <c r="D5" s="18"/>
      <c r="E5" s="18"/>
      <c r="F5" s="18"/>
      <c r="G5" s="18"/>
      <c r="H5" s="18"/>
      <c r="I5" s="18"/>
    </row>
    <row r="6" ht="15" customHeight="1" spans="1:9" x14ac:dyDescent="0.25">
      <c r="A6" s="12" t="str">
        <f>IF('01_Employes'!A7="","",'01_Employes'!A7)</f>
        <v>EMP002</v>
      </c>
      <c r="B6" s="72" t="str">
        <f>IF(A6="","",'01_Employes'!D7)</f>
        <v>Pandja Tchatchoua Syriane</v>
      </c>
      <c r="C6" s="72" t="str">
        <f>IF(A6="","",'01_Employes'!E7)</f>
        <v>Secrétaire</v>
      </c>
      <c r="D6" s="18"/>
      <c r="E6" s="18"/>
      <c r="F6" s="18"/>
      <c r="G6" s="18"/>
      <c r="H6" s="18"/>
      <c r="I6" s="18"/>
    </row>
    <row r="7" ht="15" customHeight="1" spans="1:9" x14ac:dyDescent="0.25">
      <c r="A7" s="12" t="str">
        <f>IF('01_Employes'!A8="","",'01_Employes'!A8)</f>
        <v>EMP003</v>
      </c>
      <c r="B7" s="72" t="str">
        <f>IF(A7="","",'01_Employes'!D8)</f>
        <v>Takoueta Yvan</v>
      </c>
      <c r="C7" s="72" t="str">
        <f>IF(A7="","",'01_Employes'!E8)</f>
        <v>Chef des ateliers</v>
      </c>
      <c r="D7" s="18"/>
      <c r="E7" s="18"/>
      <c r="F7" s="18"/>
      <c r="G7" s="18"/>
      <c r="H7" s="18"/>
      <c r="I7" s="18"/>
    </row>
    <row r="8" ht="15" customHeight="1" spans="1:9" x14ac:dyDescent="0.25">
      <c r="A8" s="12" t="str">
        <f>IF('01_Employes'!A9="","",'01_Employes'!A9)</f>
        <v>EMP004</v>
      </c>
      <c r="B8" s="72" t="str">
        <f>IF(A8="","",'01_Employes'!D9)</f>
        <v>Chekep Faustin</v>
      </c>
      <c r="C8" s="72" t="str">
        <f>IF(A8="","",'01_Employes'!E9)</f>
        <v>Mécanicien</v>
      </c>
      <c r="D8" s="18"/>
      <c r="E8" s="18"/>
      <c r="F8" s="18"/>
      <c r="G8" s="18"/>
      <c r="H8" s="18"/>
      <c r="I8" s="18"/>
    </row>
    <row r="9" ht="15" customHeight="1" spans="1:9" x14ac:dyDescent="0.25">
      <c r="A9" s="12" t="str">
        <f>IF('01_Employes'!A10="","",'01_Employes'!A10)</f>
        <v>EMP005</v>
      </c>
      <c r="B9" s="72" t="str">
        <f>IF(A9="","",'01_Employes'!D10)</f>
        <v>Abdou</v>
      </c>
      <c r="C9" s="72" t="str">
        <f>IF(A9="","",'01_Employes'!E10)</f>
        <v>Tôlier</v>
      </c>
      <c r="D9" s="18"/>
      <c r="E9" s="18"/>
      <c r="F9" s="18"/>
      <c r="G9" s="18"/>
      <c r="H9" s="18"/>
      <c r="I9" s="18"/>
    </row>
    <row r="10" ht="15" customHeight="1" spans="1:9" x14ac:dyDescent="0.25">
      <c r="A10" s="12" t="str">
        <f>IF('01_Employes'!A11="","",'01_Employes'!A11)</f>
        <v>EMP006</v>
      </c>
      <c r="B10" s="72" t="str">
        <f>IF(A10="","",'01_Employes'!D11)</f>
        <v>Nyontyen Si Jean Vinny</v>
      </c>
      <c r="C10" s="72" t="str">
        <f>IF(A10="","",'01_Employes'!E11)</f>
        <v>Mécanicien</v>
      </c>
      <c r="D10" s="18"/>
      <c r="E10" s="18"/>
      <c r="F10" s="18"/>
      <c r="G10" s="18"/>
      <c r="H10" s="18"/>
      <c r="I10" s="18"/>
    </row>
    <row r="11" ht="15" customHeight="1" spans="1:9" x14ac:dyDescent="0.25">
      <c r="A11" s="12" t="str">
        <f>IF('01_Employes'!A12="","",'01_Employes'!A12)</f>
        <v>EMP007</v>
      </c>
      <c r="B11" s="72" t="str">
        <f>IF(A11="","",'01_Employes'!D12)</f>
        <v>Holé Homsala</v>
      </c>
      <c r="C11" s="72" t="str">
        <f>IF(A11="","",'01_Employes'!E12)</f>
        <v>Magasinier</v>
      </c>
      <c r="D11" s="18"/>
      <c r="E11" s="18"/>
      <c r="F11" s="18"/>
      <c r="G11" s="18"/>
      <c r="H11" s="18"/>
      <c r="I11" s="18"/>
    </row>
    <row r="12" ht="15" customHeight="1" spans="1:9" x14ac:dyDescent="0.25">
      <c r="A12" s="12" t="str">
        <f>IF('01_Employes'!A13="","",'01_Employes'!A13)</f>
        <v>EMP008</v>
      </c>
      <c r="B12" s="72" t="str">
        <f>IF(A12="","",'01_Employes'!D13)</f>
        <v>Ebene Ngono</v>
      </c>
      <c r="C12" s="72" t="str">
        <f>IF(A12="","",'01_Employes'!E13)</f>
        <v>Mécanicien</v>
      </c>
      <c r="D12" s="18"/>
      <c r="E12" s="18"/>
      <c r="F12" s="18"/>
      <c r="G12" s="18"/>
      <c r="H12" s="18"/>
      <c r="I12" s="18"/>
    </row>
    <row r="13" ht="15" customHeight="1" spans="1:9" x14ac:dyDescent="0.25">
      <c r="A13" s="12" t="str">
        <f>IF('01_Employes'!A14="","",'01_Employes'!A14)</f>
        <v>EMP009</v>
      </c>
      <c r="B13" s="72" t="str">
        <f>IF(A13="","",'01_Employes'!D14)</f>
        <v>Tineba Vital Eric</v>
      </c>
      <c r="C13" s="72" t="str">
        <f>IF(A13="","",'01_Employes'!E14)</f>
        <v>Mécanicien</v>
      </c>
      <c r="D13" s="18"/>
      <c r="E13" s="18"/>
      <c r="F13" s="18"/>
      <c r="G13" s="18"/>
      <c r="H13" s="18"/>
      <c r="I13" s="18"/>
    </row>
    <row r="14" ht="15" customHeight="1" spans="1:9" x14ac:dyDescent="0.25">
      <c r="A14" s="12" t="str">
        <f>IF('01_Employes'!A15="","",'01_Employes'!A15)</f>
        <v>EMP010</v>
      </c>
      <c r="B14" s="72" t="str">
        <f>IF(A14="","",'01_Employes'!D15)</f>
        <v>Deutchoua Tientcheu Christian</v>
      </c>
      <c r="C14" s="72" t="str">
        <f>IF(A14="","",'01_Employes'!E15)</f>
        <v>Mécanicien</v>
      </c>
      <c r="D14" s="18"/>
      <c r="E14" s="18"/>
      <c r="F14" s="18"/>
      <c r="G14" s="18"/>
      <c r="H14" s="18"/>
      <c r="I14" s="18"/>
    </row>
    <row r="15" ht="15" customHeight="1" spans="1:9" x14ac:dyDescent="0.25">
      <c r="A15" s="12" t="str">
        <f>IF('01_Employes'!A16="","",'01_Employes'!A16)</f>
        <v>EMP011</v>
      </c>
      <c r="B15" s="72" t="str">
        <f>IF(A15="","",'01_Employes'!D16)</f>
        <v>Fouakouet Youssoufa</v>
      </c>
      <c r="C15" s="72" t="str">
        <f>IF(A15="","",'01_Employes'!E16)</f>
        <v>Électronicien</v>
      </c>
      <c r="D15" s="18"/>
      <c r="E15" s="18"/>
      <c r="F15" s="18"/>
      <c r="G15" s="18"/>
      <c r="H15" s="18"/>
      <c r="I15" s="18"/>
    </row>
    <row r="16" ht="15" customHeight="1" spans="1:9" x14ac:dyDescent="0.25">
      <c r="A16" s="12" t="str">
        <f>IF('01_Employes'!A17="","",'01_Employes'!A17)</f>
        <v>EMP012</v>
      </c>
      <c r="B16" s="72" t="str">
        <f>IF(A16="","",'01_Employes'!D17)</f>
        <v>Ngouamera Adrien Gildas</v>
      </c>
      <c r="C16" s="72" t="str">
        <f>IF(A16="","",'01_Employes'!E17)</f>
        <v>Mécanicien</v>
      </c>
      <c r="D16" s="18"/>
      <c r="E16" s="18"/>
      <c r="F16" s="18"/>
      <c r="G16" s="18"/>
      <c r="H16" s="18"/>
      <c r="I16" s="18"/>
    </row>
    <row r="17" ht="15" customHeight="1" spans="1:9" x14ac:dyDescent="0.25">
      <c r="A17" s="12" t="str">
        <f>IF('01_Employes'!A18="","",'01_Employes'!A18)</f>
        <v>EMP013</v>
      </c>
      <c r="B17" s="72" t="str">
        <f>IF(A17="","",'01_Employes'!D18)</f>
        <v>Nague Zemdjui Arnaud</v>
      </c>
      <c r="C17" s="72" t="str">
        <f>IF(A17="","",'01_Employes'!E18)</f>
        <v>Assistant Administratif</v>
      </c>
      <c r="D17" s="18"/>
      <c r="E17" s="18"/>
      <c r="F17" s="18"/>
      <c r="G17" s="18"/>
      <c r="H17" s="18"/>
      <c r="I17" s="18"/>
    </row>
    <row r="19" ht="15" customHeight="1" spans="1:1" x14ac:dyDescent="0.25">
      <c r="A19" s="3" t="s">
        <v>306</v>
      </c>
    </row>
  </sheetData>
  <sheetProtection sheet="1" formatCells="0" formatColumns="0" formatRows="0" autoFilter="0" algorithmName="SHA-512" hashValue="sh5u2Wn2dOzYnPOnM9XxhbXz2uPjrw2jBID4Wg1dZGOBlJDFbW64beyxnSucf4mzqsXKc9H45KMvrkMbfV5g+A==" saltValue="YsOOuKv9CXgqsxZsZ44TPA==" spinCount="100000"/>
  <mergeCells count="1">
    <mergeCell ref="A1:I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8.7109375"/>
  <cols>
    <col min="1" max="1" width="6" customWidth="1"/>
    <col min="2" max="3" width="12" customWidth="1"/>
    <col min="4" max="4" width="26" customWidth="1"/>
    <col min="5" max="5" width="18" customWidth="1"/>
    <col min="6" max="6" width="40" customWidth="1"/>
    <col min="7" max="7" width="12" customWidth="1"/>
    <col min="8" max="8" width="20" customWidth="1"/>
    <col min="9" max="9" width="12" customWidth="1"/>
    <col min="10" max="10" width="20" customWidth="1"/>
  </cols>
  <sheetData>
    <row r="1" ht="21.75" customHeight="1" spans="1:10" x14ac:dyDescent="0.25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</row>
    <row r="3" ht="15" customHeight="1" spans="1:10" x14ac:dyDescent="0.25">
      <c r="A3" s="10" t="s">
        <v>274</v>
      </c>
      <c r="B3" s="10" t="s">
        <v>219</v>
      </c>
      <c r="C3" s="10" t="s">
        <v>220</v>
      </c>
      <c r="D3" s="10" t="s">
        <v>147</v>
      </c>
      <c r="E3" s="10" t="s">
        <v>308</v>
      </c>
      <c r="F3" s="10" t="s">
        <v>309</v>
      </c>
      <c r="G3" s="10" t="s">
        <v>310</v>
      </c>
      <c r="H3" s="10" t="s">
        <v>311</v>
      </c>
      <c r="I3" s="10" t="s">
        <v>312</v>
      </c>
      <c r="J3" s="10" t="s">
        <v>265</v>
      </c>
    </row>
    <row r="4" ht="15" customHeight="1" spans="1:10" x14ac:dyDescent="0.25">
      <c r="A4" s="84">
        <v>1</v>
      </c>
      <c r="B4" s="85"/>
      <c r="C4" s="22"/>
      <c r="D4" s="72">
        <f>IF(C4="","",IFERROR(VLOOKUP(C4,Employes[[ID]:[Nom Complet]],4,FALSE()),""))</f>
      </c>
      <c r="E4" s="22"/>
      <c r="F4" s="22"/>
      <c r="G4" s="22"/>
      <c r="H4" s="22"/>
      <c r="I4" s="85"/>
      <c r="J4" s="22"/>
    </row>
    <row r="5" ht="15" customHeight="1" spans="1:10" x14ac:dyDescent="0.25">
      <c r="A5" s="84">
        <v>2</v>
      </c>
      <c r="B5" s="85"/>
      <c r="C5" s="22"/>
      <c r="D5" s="72">
        <f>IF(C5="","",IFERROR(VLOOKUP(C5,Employes[[ID]:[Nom Complet]],4,FALSE()),""))</f>
      </c>
      <c r="E5" s="22"/>
      <c r="F5" s="22"/>
      <c r="G5" s="22"/>
      <c r="H5" s="22"/>
      <c r="I5" s="85"/>
      <c r="J5" s="22"/>
    </row>
    <row r="6" ht="15" customHeight="1" spans="1:10" x14ac:dyDescent="0.25">
      <c r="A6" s="84">
        <v>3</v>
      </c>
      <c r="B6" s="85"/>
      <c r="C6" s="22"/>
      <c r="D6" s="72">
        <f>IF(C6="","",IFERROR(VLOOKUP(C6,Employes[[ID]:[Nom Complet]],4,FALSE()),""))</f>
      </c>
      <c r="E6" s="22"/>
      <c r="F6" s="22"/>
      <c r="G6" s="22"/>
      <c r="H6" s="22"/>
      <c r="I6" s="85"/>
      <c r="J6" s="22"/>
    </row>
    <row r="7" ht="15" customHeight="1" spans="1:10" x14ac:dyDescent="0.25">
      <c r="A7" s="84">
        <v>4</v>
      </c>
      <c r="B7" s="85"/>
      <c r="C7" s="22"/>
      <c r="D7" s="72">
        <f>IF(C7="","",IFERROR(VLOOKUP(C7,Employes[[ID]:[Nom Complet]],4,FALSE()),""))</f>
      </c>
      <c r="E7" s="22"/>
      <c r="F7" s="22"/>
      <c r="G7" s="22"/>
      <c r="H7" s="22"/>
      <c r="I7" s="85"/>
      <c r="J7" s="22"/>
    </row>
    <row r="8" ht="15" customHeight="1" spans="1:10" x14ac:dyDescent="0.25">
      <c r="A8" s="84">
        <v>5</v>
      </c>
      <c r="B8" s="85"/>
      <c r="C8" s="22"/>
      <c r="D8" s="72">
        <f>IF(C8="","",IFERROR(VLOOKUP(C8,Employes[[ID]:[Nom Complet]],4,FALSE()),""))</f>
      </c>
      <c r="E8" s="22"/>
      <c r="F8" s="22"/>
      <c r="G8" s="22"/>
      <c r="H8" s="22"/>
      <c r="I8" s="85"/>
      <c r="J8" s="22"/>
    </row>
    <row r="9" ht="15" customHeight="1" spans="1:10" x14ac:dyDescent="0.25">
      <c r="A9" s="84">
        <v>6</v>
      </c>
      <c r="B9" s="85"/>
      <c r="C9" s="22"/>
      <c r="D9" s="72">
        <f>IF(C9="","",IFERROR(VLOOKUP(C9,Employes[[ID]:[Nom Complet]],4,FALSE()),""))</f>
      </c>
      <c r="E9" s="22"/>
      <c r="F9" s="22"/>
      <c r="G9" s="22"/>
      <c r="H9" s="22"/>
      <c r="I9" s="85"/>
      <c r="J9" s="22"/>
    </row>
    <row r="10" ht="15" customHeight="1" spans="1:10" x14ac:dyDescent="0.25">
      <c r="A10" s="84">
        <v>7</v>
      </c>
      <c r="B10" s="85"/>
      <c r="C10" s="22"/>
      <c r="D10" s="72">
        <f>IF(C10="","",IFERROR(VLOOKUP(C10,Employes[[ID]:[Nom Complet]],4,FALSE()),""))</f>
      </c>
      <c r="E10" s="22"/>
      <c r="F10" s="22"/>
      <c r="G10" s="22"/>
      <c r="H10" s="22"/>
      <c r="I10" s="85"/>
      <c r="J10" s="22"/>
    </row>
    <row r="11" ht="15" customHeight="1" spans="1:10" x14ac:dyDescent="0.25">
      <c r="A11" s="84">
        <v>8</v>
      </c>
      <c r="B11" s="85"/>
      <c r="C11" s="22"/>
      <c r="D11" s="72">
        <f>IF(C11="","",IFERROR(VLOOKUP(C11,Employes[[ID]:[Nom Complet]],4,FALSE()),""))</f>
      </c>
      <c r="E11" s="22"/>
      <c r="F11" s="22"/>
      <c r="G11" s="22"/>
      <c r="H11" s="22"/>
      <c r="I11" s="85"/>
      <c r="J11" s="22"/>
    </row>
    <row r="12" ht="15" customHeight="1" spans="1:10" x14ac:dyDescent="0.25">
      <c r="A12" s="84">
        <v>9</v>
      </c>
      <c r="B12" s="85"/>
      <c r="C12" s="22"/>
      <c r="D12" s="72">
        <f>IF(C12="","",IFERROR(VLOOKUP(C12,Employes[[ID]:[Nom Complet]],4,FALSE()),""))</f>
      </c>
      <c r="E12" s="22"/>
      <c r="F12" s="22"/>
      <c r="G12" s="22"/>
      <c r="H12" s="22"/>
      <c r="I12" s="85"/>
      <c r="J12" s="22"/>
    </row>
    <row r="13" ht="15" customHeight="1" spans="1:10" x14ac:dyDescent="0.25">
      <c r="A13" s="84">
        <v>10</v>
      </c>
      <c r="B13" s="85"/>
      <c r="C13" s="22"/>
      <c r="D13" s="72">
        <f>IF(C13="","",IFERROR(VLOOKUP(C13,Employes[[ID]:[Nom Complet]],4,FALSE()),""))</f>
      </c>
      <c r="E13" s="22"/>
      <c r="F13" s="22"/>
      <c r="G13" s="22"/>
      <c r="H13" s="22"/>
      <c r="I13" s="85"/>
      <c r="J13" s="22"/>
    </row>
    <row r="14" ht="15" customHeight="1" spans="1:10" x14ac:dyDescent="0.25">
      <c r="A14" s="84">
        <v>11</v>
      </c>
      <c r="B14" s="85"/>
      <c r="C14" s="22"/>
      <c r="D14" s="72">
        <f>IF(C14="","",IFERROR(VLOOKUP(C14,Employes[[ID]:[Nom Complet]],4,FALSE()),""))</f>
      </c>
      <c r="E14" s="22"/>
      <c r="F14" s="22"/>
      <c r="G14" s="22"/>
      <c r="H14" s="22"/>
      <c r="I14" s="85"/>
      <c r="J14" s="22"/>
    </row>
    <row r="15" ht="15" customHeight="1" spans="1:10" x14ac:dyDescent="0.25">
      <c r="A15" s="84">
        <v>12</v>
      </c>
      <c r="B15" s="85"/>
      <c r="C15" s="22"/>
      <c r="D15" s="72">
        <f>IF(C15="","",IFERROR(VLOOKUP(C15,Employes[[ID]:[Nom Complet]],4,FALSE()),""))</f>
      </c>
      <c r="E15" s="22"/>
      <c r="F15" s="22"/>
      <c r="G15" s="22"/>
      <c r="H15" s="22"/>
      <c r="I15" s="85"/>
      <c r="J15" s="22"/>
    </row>
    <row r="16" ht="15" customHeight="1" spans="1:10" x14ac:dyDescent="0.25">
      <c r="A16" s="84">
        <v>13</v>
      </c>
      <c r="B16" s="85"/>
      <c r="C16" s="22"/>
      <c r="D16" s="72">
        <f>IF(C16="","",IFERROR(VLOOKUP(C16,Employes[[ID]:[Nom Complet]],4,FALSE()),""))</f>
      </c>
      <c r="E16" s="22"/>
      <c r="F16" s="22"/>
      <c r="G16" s="22"/>
      <c r="H16" s="22"/>
      <c r="I16" s="85"/>
      <c r="J16" s="22"/>
    </row>
    <row r="17" ht="15" customHeight="1" spans="1:10" x14ac:dyDescent="0.25">
      <c r="A17" s="84">
        <v>14</v>
      </c>
      <c r="B17" s="85"/>
      <c r="C17" s="22"/>
      <c r="D17" s="72">
        <f>IF(C17="","",IFERROR(VLOOKUP(C17,Employes[[ID]:[Nom Complet]],4,FALSE()),""))</f>
      </c>
      <c r="E17" s="22"/>
      <c r="F17" s="22"/>
      <c r="G17" s="22"/>
      <c r="H17" s="22"/>
      <c r="I17" s="85"/>
      <c r="J17" s="22"/>
    </row>
    <row r="18" ht="15" customHeight="1" spans="1:10" x14ac:dyDescent="0.25">
      <c r="A18" s="84">
        <v>15</v>
      </c>
      <c r="B18" s="85"/>
      <c r="C18" s="22"/>
      <c r="D18" s="72">
        <f>IF(C18="","",IFERROR(VLOOKUP(C18,Employes[[ID]:[Nom Complet]],4,FALSE()),""))</f>
      </c>
      <c r="E18" s="22"/>
      <c r="F18" s="22"/>
      <c r="G18" s="22"/>
      <c r="H18" s="22"/>
      <c r="I18" s="85"/>
      <c r="J18" s="22"/>
    </row>
    <row r="19" ht="15" customHeight="1" spans="1:10" x14ac:dyDescent="0.25">
      <c r="A19" s="84">
        <v>16</v>
      </c>
      <c r="B19" s="85"/>
      <c r="C19" s="22"/>
      <c r="D19" s="72">
        <f>IF(C19="","",IFERROR(VLOOKUP(C19,Employes[[ID]:[Nom Complet]],4,FALSE()),""))</f>
      </c>
      <c r="E19" s="22"/>
      <c r="F19" s="22"/>
      <c r="G19" s="22"/>
      <c r="H19" s="22"/>
      <c r="I19" s="85"/>
      <c r="J19" s="22"/>
    </row>
  </sheetData>
  <sheetProtection sheet="1" formatCells="0" formatColumns="0" formatRows="0" autoFilter="0" algorithmName="SHA-512" hashValue="XDakKpKpF0xqCwBMlnuEOq1xR5e9JQGCjjVF8SeOcRC4lZq68n27chHSM4n2ED4O3A5IsxvX/JnxsrcnCHPPTQ==" saltValue="o3F+JlKaMYDf1IGboSNcxQ==" spinCount="100000"/>
  <mergeCells count="1">
    <mergeCell ref="A1:J1"/>
  </mergeCells>
  <dataValidations count="6">
    <dataValidation type="list" allowBlank="1" sqref="C10:C19">
      <formula1>INDIRECT("Employes[ID]")</formula1>
      <formula2>0</formula2>
    </dataValidation>
    <dataValidation type="list" allowBlank="1" sqref="C4:C19">
      <formula1>INDIRECT("Employes[ID]")</formula1>
      <formula2>0</formula2>
    </dataValidation>
    <dataValidation type="list" allowBlank="1" sqref="E10:E19">
      <formula1>"Avertissement verbal,Avertissement écrit,Blame,Mise à pied,Licenciement,Incident matériel,Retard répété,Autre"</formula1>
      <formula2>0</formula2>
    </dataValidation>
    <dataValidation type="list" allowBlank="1" sqref="E4:E19">
      <formula1>"Avertissement verbal,Avertissement écrit,Blame,Mise à pied,Licenciement,Incident matériel,Retard répété,Autre"</formula1>
      <formula2>0</formula2>
    </dataValidation>
    <dataValidation type="list" allowBlank="1" sqref="G10:G19">
      <formula1>"Faible,Moyenne,Élevée,Critique"</formula1>
      <formula2>0</formula2>
    </dataValidation>
    <dataValidation type="list" allowBlank="1" sqref="G4:G19">
      <formula1>"Faible,Moyenne,Élevée,Critique"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8.7109375"/>
  <cols>
    <col min="1" max="1" width="10" customWidth="1"/>
    <col min="2" max="2" width="28" customWidth="1"/>
    <col min="3" max="3" width="18" customWidth="1"/>
    <col min="4" max="4" width="22" customWidth="1"/>
    <col min="5" max="5" width="28" customWidth="1"/>
    <col min="6" max="6" width="18" customWidth="1"/>
  </cols>
  <sheetData>
    <row r="1" ht="21.75" customHeight="1" spans="1:6" x14ac:dyDescent="0.25">
      <c r="A1" s="1" t="s">
        <v>313</v>
      </c>
      <c r="B1" s="2"/>
      <c r="C1" s="2"/>
      <c r="D1" s="2"/>
      <c r="E1" s="2"/>
      <c r="F1" s="2"/>
    </row>
    <row r="3" ht="15" customHeight="1" spans="1:6" x14ac:dyDescent="0.25">
      <c r="A3" s="10" t="s">
        <v>144</v>
      </c>
      <c r="B3" s="10" t="s">
        <v>147</v>
      </c>
      <c r="C3" s="10" t="s">
        <v>11</v>
      </c>
      <c r="D3" s="10" t="s">
        <v>148</v>
      </c>
      <c r="E3" s="10" t="s">
        <v>149</v>
      </c>
      <c r="F3" s="10" t="s">
        <v>13</v>
      </c>
    </row>
    <row r="4" ht="15" customHeight="1" spans="1:6" x14ac:dyDescent="0.25">
      <c r="A4" s="12" t="str">
        <f>IF('01_Employes'!A6="","",'01_Employes'!A6)</f>
        <v>EMP001</v>
      </c>
      <c r="B4" s="72" t="str">
        <f>IF(A4="","",'01_Employes'!D6)</f>
        <v>Tsafack Ndongmo Symphonien</v>
      </c>
      <c r="C4" s="72" t="str">
        <f>IF(A4="","",'01_Employes'!E6)</f>
        <v>Administrateur</v>
      </c>
      <c r="D4" s="72" t="str">
        <f>IF(A4="","",'01_Employes'!G6)</f>
        <v>677 89 71 62</v>
      </c>
      <c r="E4" s="72">
        <f>IF(A4="","",'01_Employes'!H6)</f>
        <v>0</v>
      </c>
      <c r="F4" s="72" t="str">
        <f>IF(A4="","",'01_Employes'!F6)</f>
        <v>Administration</v>
      </c>
    </row>
    <row r="5" ht="15" customHeight="1" spans="1:6" x14ac:dyDescent="0.25">
      <c r="A5" s="12" t="str">
        <f>IF('01_Employes'!A7="","",'01_Employes'!A7)</f>
        <v>EMP002</v>
      </c>
      <c r="B5" s="72" t="str">
        <f>IF(A5="","",'01_Employes'!D7)</f>
        <v>Pandja Tchatchoua Syriane</v>
      </c>
      <c r="C5" s="72" t="str">
        <f>IF(A5="","",'01_Employes'!E7)</f>
        <v>Secrétaire</v>
      </c>
      <c r="D5" s="72" t="str">
        <f>IF(A5="","",'01_Employes'!G7)</f>
        <v>656 04 71 31</v>
      </c>
      <c r="E5" s="72">
        <f>IF(A5="","",'01_Employes'!H7)</f>
        <v>0</v>
      </c>
      <c r="F5" s="72" t="str">
        <f>IF(A5="","",'01_Employes'!F7)</f>
        <v>Administration</v>
      </c>
    </row>
    <row r="6" ht="15" customHeight="1" spans="1:6" x14ac:dyDescent="0.25">
      <c r="A6" s="12" t="str">
        <f>IF('01_Employes'!A8="","",'01_Employes'!A8)</f>
        <v>EMP003</v>
      </c>
      <c r="B6" s="72" t="str">
        <f>IF(A6="","",'01_Employes'!D8)</f>
        <v>Takoueta Yvan</v>
      </c>
      <c r="C6" s="72" t="str">
        <f>IF(A6="","",'01_Employes'!E8)</f>
        <v>Chef des ateliers</v>
      </c>
      <c r="D6" s="72" t="str">
        <f>IF(A6="","",'01_Employes'!G8)</f>
        <v>657 78 99 78</v>
      </c>
      <c r="E6" s="72">
        <f>IF(A6="","",'01_Employes'!H8)</f>
        <v>0</v>
      </c>
      <c r="F6" s="72" t="str">
        <f>IF(A6="","",'01_Employes'!F8)</f>
        <v>Direction Atelier</v>
      </c>
    </row>
    <row r="7" ht="15" customHeight="1" spans="1:6" x14ac:dyDescent="0.25">
      <c r="A7" s="12" t="str">
        <f>IF('01_Employes'!A9="","",'01_Employes'!A9)</f>
        <v>EMP004</v>
      </c>
      <c r="B7" s="72" t="str">
        <f>IF(A7="","",'01_Employes'!D9)</f>
        <v>Chekep Faustin</v>
      </c>
      <c r="C7" s="72" t="str">
        <f>IF(A7="","",'01_Employes'!E9)</f>
        <v>Mécanicien</v>
      </c>
      <c r="D7" s="72" t="str">
        <f>IF(A7="","",'01_Employes'!G9)</f>
        <v>672 67 18 01</v>
      </c>
      <c r="E7" s="72">
        <f>IF(A7="","",'01_Employes'!H9)</f>
        <v>0</v>
      </c>
      <c r="F7" s="72" t="str">
        <f>IF(A7="","",'01_Employes'!F9)</f>
        <v>Atelier Mécanique</v>
      </c>
    </row>
    <row r="8" ht="15" customHeight="1" spans="1:6" x14ac:dyDescent="0.25">
      <c r="A8" s="12" t="str">
        <f>IF('01_Employes'!A10="","",'01_Employes'!A10)</f>
        <v>EMP005</v>
      </c>
      <c r="B8" s="72" t="str">
        <f>IF(A8="","",'01_Employes'!D10)</f>
        <v>Abdou</v>
      </c>
      <c r="C8" s="72" t="str">
        <f>IF(A8="","",'01_Employes'!E10)</f>
        <v>Tôlier</v>
      </c>
      <c r="D8" s="72" t="str">
        <f>IF(A8="","",'01_Employes'!G10)</f>
        <v>673 84 48 12</v>
      </c>
      <c r="E8" s="72">
        <f>IF(A8="","",'01_Employes'!H10)</f>
        <v>0</v>
      </c>
      <c r="F8" s="72" t="str">
        <f>IF(A8="","",'01_Employes'!F10)</f>
        <v>Carrosserie</v>
      </c>
    </row>
    <row r="9" ht="15" customHeight="1" spans="1:6" x14ac:dyDescent="0.25">
      <c r="A9" s="12" t="str">
        <f>IF('01_Employes'!A11="","",'01_Employes'!A11)</f>
        <v>EMP006</v>
      </c>
      <c r="B9" s="72" t="str">
        <f>IF(A9="","",'01_Employes'!D11)</f>
        <v>Nyontyen Si Jean Vinny</v>
      </c>
      <c r="C9" s="72" t="str">
        <f>IF(A9="","",'01_Employes'!E11)</f>
        <v>Mécanicien</v>
      </c>
      <c r="D9" s="72" t="str">
        <f>IF(A9="","",'01_Employes'!G11)</f>
        <v>694 36 28 38</v>
      </c>
      <c r="E9" s="72">
        <f>IF(A9="","",'01_Employes'!H11)</f>
        <v>0</v>
      </c>
      <c r="F9" s="72" t="str">
        <f>IF(A9="","",'01_Employes'!F11)</f>
        <v>Atelier Mécanique</v>
      </c>
    </row>
    <row r="10" ht="15" customHeight="1" spans="1:6" x14ac:dyDescent="0.25">
      <c r="A10" s="12" t="str">
        <f>IF('01_Employes'!A12="","",'01_Employes'!A12)</f>
        <v>EMP007</v>
      </c>
      <c r="B10" s="72" t="str">
        <f>IF(A10="","",'01_Employes'!D12)</f>
        <v>Holé Homsala</v>
      </c>
      <c r="C10" s="72" t="str">
        <f>IF(A10="","",'01_Employes'!E12)</f>
        <v>Magasinier</v>
      </c>
      <c r="D10" s="72" t="str">
        <f>IF(A10="","",'01_Employes'!G12)</f>
        <v>699 47 09 80</v>
      </c>
      <c r="E10" s="72" t="str">
        <f>IF(A10="","",'01_Employes'!H12)</f>
        <v>holehomsala7@gmail.com</v>
      </c>
      <c r="F10" s="72" t="str">
        <f>IF(A10="","",'01_Employes'!F12)</f>
        <v>Magasin</v>
      </c>
    </row>
    <row r="11" ht="15" customHeight="1" spans="1:6" x14ac:dyDescent="0.25">
      <c r="A11" s="12" t="str">
        <f>IF('01_Employes'!A13="","",'01_Employes'!A13)</f>
        <v>EMP008</v>
      </c>
      <c r="B11" s="72" t="str">
        <f>IF(A11="","",'01_Employes'!D13)</f>
        <v>Ebene Ngono</v>
      </c>
      <c r="C11" s="72" t="str">
        <f>IF(A11="","",'01_Employes'!E13)</f>
        <v>Mécanicien</v>
      </c>
      <c r="D11" s="72" t="str">
        <f>IF(A11="","",'01_Employes'!G13)</f>
        <v>653 04 86 11</v>
      </c>
      <c r="E11" s="72">
        <f>IF(A11="","",'01_Employes'!H13)</f>
        <v>0</v>
      </c>
      <c r="F11" s="72" t="str">
        <f>IF(A11="","",'01_Employes'!F13)</f>
        <v>Atelier Mécanique</v>
      </c>
    </row>
    <row r="12" ht="15" customHeight="1" spans="1:6" x14ac:dyDescent="0.25">
      <c r="A12" s="12" t="str">
        <f>IF('01_Employes'!A14="","",'01_Employes'!A14)</f>
        <v>EMP009</v>
      </c>
      <c r="B12" s="72" t="str">
        <f>IF(A12="","",'01_Employes'!D14)</f>
        <v>Tineba Vital Eric</v>
      </c>
      <c r="C12" s="72" t="str">
        <f>IF(A12="","",'01_Employes'!E14)</f>
        <v>Mécanicien</v>
      </c>
      <c r="D12" s="72" t="str">
        <f>IF(A12="","",'01_Employes'!G14)</f>
        <v>698 14 24 06</v>
      </c>
      <c r="E12" s="72">
        <f>IF(A12="","",'01_Employes'!H14)</f>
        <v>0</v>
      </c>
      <c r="F12" s="72" t="str">
        <f>IF(A12="","",'01_Employes'!F14)</f>
        <v>Atelier Mécanique</v>
      </c>
    </row>
    <row r="13" ht="15" customHeight="1" spans="1:6" x14ac:dyDescent="0.25">
      <c r="A13" s="12" t="str">
        <f>IF('01_Employes'!A15="","",'01_Employes'!A15)</f>
        <v>EMP010</v>
      </c>
      <c r="B13" s="72" t="str">
        <f>IF(A13="","",'01_Employes'!D15)</f>
        <v>Deutchoua Tientcheu Christian</v>
      </c>
      <c r="C13" s="72" t="str">
        <f>IF(A13="","",'01_Employes'!E15)</f>
        <v>Mécanicien</v>
      </c>
      <c r="D13" s="72" t="str">
        <f>IF(A13="","",'01_Employes'!G15)</f>
        <v>695 07 89 78 / 678 03 61 47</v>
      </c>
      <c r="E13" s="72">
        <f>IF(A13="","",'01_Employes'!H15)</f>
        <v>0</v>
      </c>
      <c r="F13" s="72" t="str">
        <f>IF(A13="","",'01_Employes'!F15)</f>
        <v>Atelier Mécanique</v>
      </c>
    </row>
    <row r="14" ht="15" customHeight="1" spans="1:6" x14ac:dyDescent="0.25">
      <c r="A14" s="12" t="str">
        <f>IF('01_Employes'!A16="","",'01_Employes'!A16)</f>
        <v>EMP011</v>
      </c>
      <c r="B14" s="72" t="str">
        <f>IF(A14="","",'01_Employes'!D16)</f>
        <v>Fouakouet Youssoufa</v>
      </c>
      <c r="C14" s="72" t="str">
        <f>IF(A14="","",'01_Employes'!E16)</f>
        <v>Électronicien</v>
      </c>
      <c r="D14" s="72" t="str">
        <f>IF(A14="","",'01_Employes'!G16)</f>
        <v>640 85 90 53 / 620 04 32 29</v>
      </c>
      <c r="E14" s="72">
        <f>IF(A14="","",'01_Employes'!H16)</f>
        <v>0</v>
      </c>
      <c r="F14" s="72" t="str">
        <f>IF(A14="","",'01_Employes'!F16)</f>
        <v>Atelier Mécanique</v>
      </c>
    </row>
    <row r="15" ht="15" customHeight="1" spans="1:6" x14ac:dyDescent="0.25">
      <c r="A15" s="12" t="str">
        <f>IF('01_Employes'!A17="","",'01_Employes'!A17)</f>
        <v>EMP012</v>
      </c>
      <c r="B15" s="72" t="str">
        <f>IF(A15="","",'01_Employes'!D17)</f>
        <v>Ngouamera Adrien Gildas</v>
      </c>
      <c r="C15" s="72" t="str">
        <f>IF(A15="","",'01_Employes'!E17)</f>
        <v>Mécanicien</v>
      </c>
      <c r="D15" s="72" t="str">
        <f>IF(A15="","",'01_Employes'!G17)</f>
        <v>680 09 48 64</v>
      </c>
      <c r="E15" s="72">
        <f>IF(A15="","",'01_Employes'!H17)</f>
        <v>0</v>
      </c>
      <c r="F15" s="72" t="str">
        <f>IF(A15="","",'01_Employes'!F17)</f>
        <v>Atelier Mécanique</v>
      </c>
    </row>
    <row r="16" ht="15" customHeight="1" spans="1:6" x14ac:dyDescent="0.25">
      <c r="A16" s="12" t="str">
        <f>IF('01_Employes'!A18="","",'01_Employes'!A18)</f>
        <v>EMP013</v>
      </c>
      <c r="B16" s="72" t="str">
        <f>IF(A16="","",'01_Employes'!D18)</f>
        <v>Nague Zemdjui Arnaud</v>
      </c>
      <c r="C16" s="72" t="str">
        <f>IF(A16="","",'01_Employes'!E18)</f>
        <v>Assistant Administratif</v>
      </c>
      <c r="D16" s="72" t="str">
        <f>IF(A16="","",'01_Employes'!G18)</f>
        <v>658 77 57 44</v>
      </c>
      <c r="E16" s="72" t="str">
        <f>IF(A16="","",'01_Employes'!H18)</f>
        <v>arnaudstars@gmail.com</v>
      </c>
      <c r="F16" s="72" t="str">
        <f>IF(A16="","",'01_Employes'!F18)</f>
        <v>Administration</v>
      </c>
    </row>
    <row r="17" ht="15" customHeight="1" spans="1:6" x14ac:dyDescent="0.25">
      <c r="A17" s="41" t="str">
        <f>IF('01_Employes'!A19="","",'01_Employes'!A19)</f>
        <v>EMP014</v>
      </c>
      <c r="B17" s="41" t="str">
        <f>IF(A17="","",'01_Employes'!D19)</f>
        <v>Zo'o Mbarga Jean Loic</v>
      </c>
      <c r="C17" s="41" t="str">
        <f>IF(A17="","",'01_Employes'!E19)</f>
        <v>Mécanicien</v>
      </c>
      <c r="D17" s="41" t="str">
        <f>IF(A17="","",'01_Employes'!G19)</f>
        <v>698 94 92 21</v>
      </c>
      <c r="E17" s="41">
        <f>IF(A17="","",'01_Employes'!H19)</f>
        <v>0</v>
      </c>
      <c r="F17" s="41" t="str">
        <f>IF(A17="","",'01_Employes'!F19)</f>
        <v>Atelier Mécanique</v>
      </c>
    </row>
  </sheetData>
  <sheetProtection sheet="1" formatCells="0" formatColumns="0" formatRows="0" autoFilter="0" algorithmName="SHA-512" hashValue="AgvhmofqiVeEv7aDvkdvXWsJsJXb0YfYQ57j5D/QtxKWh6q2gPDK1IQTFGpHt3r5ODod0INQbA7pRIYUxE5OBQ==" saltValue="REtMe0Uf1oU7j9o6ksRwWw==" spinCount="100000"/>
  <mergeCells count="1">
    <mergeCell ref="A1:F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 zoomScale="100" zoomScaleNormal="100"/>
  </sheetViews>
  <sheetFormatPr defaultRowHeight="15" outlineLevelRow="0" outlineLevelCol="0" x14ac:dyDescent="0.25" defaultColWidth="8.7109375"/>
  <cols>
    <col min="1" max="1" width="18" customWidth="1"/>
    <col min="2" max="2" width="110" customWidth="1"/>
  </cols>
  <sheetData>
    <row r="1" ht="21.75" customHeight="1" spans="1:2" x14ac:dyDescent="0.25">
      <c r="A1" s="1" t="s">
        <v>314</v>
      </c>
      <c r="B1" s="2"/>
    </row>
    <row r="3" ht="15" customHeight="1" spans="1:1" x14ac:dyDescent="0.25">
      <c r="A3" s="9" t="s">
        <v>315</v>
      </c>
    </row>
    <row r="4" ht="15" customHeight="1" spans="1:2" x14ac:dyDescent="0.25">
      <c r="A4" s="2" t="s">
        <v>316</v>
      </c>
      <c r="B4" s="2"/>
    </row>
    <row r="6" ht="15" customHeight="1" spans="1:2" x14ac:dyDescent="0.25">
      <c r="A6" s="87" t="s">
        <v>317</v>
      </c>
      <c r="B6" s="87" t="s">
        <v>318</v>
      </c>
    </row>
    <row r="7" ht="39.75" customHeight="1" spans="1:2" x14ac:dyDescent="0.25">
      <c r="A7" s="88" t="s">
        <v>48</v>
      </c>
      <c r="B7" s="89" t="s">
        <v>319</v>
      </c>
    </row>
    <row r="8" ht="39.75" customHeight="1" spans="1:2" x14ac:dyDescent="0.25">
      <c r="A8" s="88" t="s">
        <v>30</v>
      </c>
      <c r="B8" s="89" t="s">
        <v>320</v>
      </c>
    </row>
    <row r="9" ht="39.75" customHeight="1" spans="1:2" x14ac:dyDescent="0.25">
      <c r="A9" s="88" t="s">
        <v>32</v>
      </c>
      <c r="B9" s="89" t="s">
        <v>321</v>
      </c>
    </row>
    <row r="10" ht="39.75" customHeight="1" spans="1:2" x14ac:dyDescent="0.25">
      <c r="A10" s="88" t="s">
        <v>34</v>
      </c>
      <c r="B10" s="89" t="s">
        <v>322</v>
      </c>
    </row>
    <row r="11" ht="39.75" customHeight="1" spans="1:2" x14ac:dyDescent="0.25">
      <c r="A11" s="88" t="s">
        <v>36</v>
      </c>
      <c r="B11" s="89" t="s">
        <v>323</v>
      </c>
    </row>
    <row r="12" ht="39.75" customHeight="1" spans="1:2" x14ac:dyDescent="0.25">
      <c r="A12" s="88" t="s">
        <v>38</v>
      </c>
      <c r="B12" s="89" t="s">
        <v>324</v>
      </c>
    </row>
    <row r="13" ht="39.75" customHeight="1" spans="1:2" x14ac:dyDescent="0.25">
      <c r="A13" s="88" t="s">
        <v>40</v>
      </c>
      <c r="B13" s="89" t="s">
        <v>325</v>
      </c>
    </row>
    <row r="14" ht="39.75" customHeight="1" spans="1:2" x14ac:dyDescent="0.25">
      <c r="A14" s="88" t="s">
        <v>42</v>
      </c>
      <c r="B14" s="89" t="s">
        <v>326</v>
      </c>
    </row>
    <row r="15" ht="39.75" customHeight="1" spans="1:2" x14ac:dyDescent="0.25">
      <c r="A15" s="88" t="s">
        <v>44</v>
      </c>
      <c r="B15" s="89" t="s">
        <v>327</v>
      </c>
    </row>
    <row r="16" ht="39.75" customHeight="1" spans="1:2" x14ac:dyDescent="0.25">
      <c r="A16" s="88" t="s">
        <v>46</v>
      </c>
      <c r="B16" s="89" t="s">
        <v>328</v>
      </c>
    </row>
    <row r="18" ht="15" customHeight="1" spans="1:1" x14ac:dyDescent="0.25">
      <c r="A18" s="9" t="s">
        <v>329</v>
      </c>
    </row>
    <row r="19" ht="15" customHeight="1" spans="1:1" x14ac:dyDescent="0.25">
      <c r="A19" t="s">
        <v>330</v>
      </c>
    </row>
    <row r="20" ht="15" customHeight="1" spans="1:1" x14ac:dyDescent="0.25">
      <c r="A20" t="s">
        <v>331</v>
      </c>
    </row>
    <row r="21" ht="15" customHeight="1" spans="1:1" x14ac:dyDescent="0.25">
      <c r="A21" t="s">
        <v>332</v>
      </c>
    </row>
    <row r="22" ht="15" customHeight="1" spans="1:1" x14ac:dyDescent="0.25">
      <c r="A22" t="s">
        <v>333</v>
      </c>
    </row>
    <row r="23" ht="15" customHeight="1" spans="1:1" x14ac:dyDescent="0.25">
      <c r="A23" t="s">
        <v>334</v>
      </c>
    </row>
    <row r="24" ht="15" customHeight="1" spans="1:1" x14ac:dyDescent="0.25">
      <c r="A24" t="s">
        <v>335</v>
      </c>
    </row>
    <row r="25" ht="15" customHeight="1" spans="1:1" x14ac:dyDescent="0.25">
      <c r="A25" t="s">
        <v>336</v>
      </c>
    </row>
    <row r="27" ht="15" customHeight="1" spans="1:1" x14ac:dyDescent="0.25">
      <c r="A27" s="9" t="s">
        <v>337</v>
      </c>
    </row>
    <row r="28" ht="15" customHeight="1" spans="1:1" x14ac:dyDescent="0.25">
      <c r="A28" t="s">
        <v>338</v>
      </c>
    </row>
    <row r="29" ht="15" customHeight="1" spans="1:1" x14ac:dyDescent="0.25">
      <c r="A29" t="s">
        <v>339</v>
      </c>
    </row>
    <row r="30" ht="15" customHeight="1" spans="1:1" x14ac:dyDescent="0.25">
      <c r="A30" t="s">
        <v>340</v>
      </c>
    </row>
    <row r="31" ht="15" customHeight="1" spans="1:1" x14ac:dyDescent="0.25">
      <c r="A31" t="s">
        <v>341</v>
      </c>
    </row>
    <row r="32" ht="15" customHeight="1" spans="1:1" x14ac:dyDescent="0.25">
      <c r="A32" t="s">
        <v>342</v>
      </c>
    </row>
    <row r="33" ht="15" customHeight="1" spans="1:1" x14ac:dyDescent="0.25">
      <c r="A33" t="s">
        <v>343</v>
      </c>
    </row>
  </sheetData>
  <sheetProtection sheet="1" formatCells="0" formatColumns="0" formatRows="0" autoFilter="0" algorithmName="SHA-512" hashValue="2MTOWQqhIrDMhEqgMv0FCurmS2HQU7g0a9UA6LgghAMGEy4nSCWei/VO+O+VGo1Ywzcf55pblVW6/cyNTCLZqw==" saltValue="75K720SIbarvgoUIaLRWSA==" spinCount="100000"/>
  <mergeCells count="2">
    <mergeCell ref="A1:B1"/>
    <mergeCell ref="A4:B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00_Dashboard</vt:lpstr>
      <vt:lpstr>00_Parametres</vt:lpstr>
      <vt:lpstr>01_Employes</vt:lpstr>
      <vt:lpstr>02_Pointage</vt:lpstr>
      <vt:lpstr>03_Paie</vt:lpstr>
      <vt:lpstr>04_Conges</vt:lpstr>
      <vt:lpstr>05_Contrats</vt:lpstr>
      <vt:lpstr>06_Competences</vt:lpstr>
      <vt:lpstr>07_Planning</vt:lpstr>
      <vt:lpstr>08_Sanctions</vt:lpstr>
      <vt:lpstr>09_Contacts</vt:lpstr>
      <vt:lpstr>10_Mode_Emploi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lastModifiedBy>FAYA COMPUTER</cp:lastModifiedBy>
  <dcterms:created xsi:type="dcterms:W3CDTF">2026-08-24T07:18:08Z</dcterms:created>
  <dcterms:modified xsi:type="dcterms:W3CDTF">2026-08-26T09:47:11Z</dcterms:modified>
</cp:coreProperties>
</file>